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879dc75141d5a3b/Escritorio/TRABAJO/CNDD 2026/"/>
    </mc:Choice>
  </mc:AlternateContent>
  <xr:revisionPtr revIDLastSave="451" documentId="8_{8354ACA0-0B2B-40FD-A6DE-B9D169433467}" xr6:coauthVersionLast="47" xr6:coauthVersionMax="47" xr10:uidLastSave="{00006D85-DDC9-E44B-AA0A-D13B810983E0}"/>
  <bookViews>
    <workbookView minimized="1" xWindow="1536" yWindow="1236" windowWidth="21504" windowHeight="11004" firstSheet="1" activeTab="1" xr2:uid="{00000000-000D-0000-FFFF-FFFF00000000}"/>
  </bookViews>
  <sheets>
    <sheet name="INICIO" sheetId="1" r:id="rId1"/>
    <sheet name="INVENTARIO MAESTRO" sheetId="2" r:id="rId2"/>
    <sheet name="ANTES" sheetId="3" r:id="rId3"/>
    <sheet name="DURANTE" sheetId="4" r:id="rId4"/>
    <sheet name="DESPUÉS" sheetId="5" r:id="rId5"/>
    <sheet name="DIRECTORIO Y PENDIENTES" sheetId="6" r:id="rId6"/>
    <sheet name="LISTA DE ASIGNACIÓN" sheetId="7" r:id="rId7"/>
  </sheets>
  <definedNames>
    <definedName name="_xlnm._FilterDatabase" localSheetId="1" hidden="1">'INVENTARIO MAESTRO'!$A$3:$O$108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M11" i="2"/>
  <c r="L11" i="2"/>
  <c r="D11" i="2"/>
  <c r="N32" i="2"/>
  <c r="M32" i="2"/>
  <c r="L32" i="2"/>
  <c r="D32" i="2"/>
  <c r="N10" i="2"/>
  <c r="M10" i="2"/>
  <c r="L10" i="2"/>
  <c r="D10" i="2"/>
  <c r="D41" i="2"/>
  <c r="D40" i="2"/>
  <c r="D39" i="2"/>
  <c r="D38" i="2"/>
  <c r="D37" i="2"/>
  <c r="D36" i="2"/>
  <c r="D35" i="2"/>
  <c r="D108" i="2"/>
  <c r="D107" i="2"/>
  <c r="D106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72" i="2"/>
  <c r="D71" i="2"/>
  <c r="D70" i="2"/>
  <c r="D69" i="2"/>
  <c r="D17" i="2"/>
  <c r="D16" i="2"/>
  <c r="D15" i="2"/>
  <c r="D14" i="2"/>
  <c r="D13" i="2"/>
  <c r="D12" i="2"/>
  <c r="D28" i="2"/>
  <c r="D27" i="2"/>
  <c r="D26" i="2"/>
  <c r="D25" i="2"/>
  <c r="D24" i="2"/>
  <c r="D23" i="2"/>
  <c r="D22" i="2"/>
  <c r="D21" i="2"/>
  <c r="D20" i="2"/>
  <c r="D19" i="2"/>
  <c r="D18" i="2"/>
  <c r="D77" i="2"/>
  <c r="D76" i="2"/>
  <c r="D75" i="2"/>
  <c r="D74" i="2"/>
  <c r="D73" i="2"/>
  <c r="D9" i="2"/>
  <c r="D8" i="2"/>
  <c r="D7" i="2"/>
  <c r="D6" i="2"/>
  <c r="D5" i="2"/>
  <c r="D4" i="2"/>
  <c r="D105" i="2"/>
  <c r="D104" i="2"/>
  <c r="D103" i="2"/>
  <c r="D102" i="2"/>
  <c r="D101" i="2"/>
  <c r="D100" i="2"/>
  <c r="D99" i="2"/>
  <c r="D98" i="2"/>
  <c r="D97" i="2"/>
  <c r="D96" i="2"/>
  <c r="D95" i="2"/>
  <c r="D34" i="2"/>
  <c r="D33" i="2"/>
  <c r="D31" i="2"/>
  <c r="D30" i="2"/>
  <c r="D51" i="2"/>
  <c r="D50" i="2"/>
  <c r="D49" i="2"/>
  <c r="D48" i="2"/>
  <c r="D47" i="2"/>
  <c r="D46" i="2"/>
  <c r="D45" i="2"/>
  <c r="D44" i="2"/>
  <c r="D43" i="2"/>
  <c r="D42" i="2"/>
  <c r="D80" i="2"/>
  <c r="D29" i="2"/>
  <c r="D79" i="2"/>
  <c r="D78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N28" i="2"/>
  <c r="M28" i="2"/>
  <c r="L28" i="2"/>
  <c r="B9" i="1"/>
  <c r="B8" i="1"/>
  <c r="B7" i="1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108" i="2"/>
  <c r="M108" i="2"/>
  <c r="L108" i="2"/>
  <c r="N107" i="2"/>
  <c r="M107" i="2"/>
  <c r="L107" i="2"/>
  <c r="N106" i="2"/>
  <c r="M106" i="2"/>
  <c r="L106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72" i="2"/>
  <c r="M72" i="2"/>
  <c r="L72" i="2"/>
  <c r="N71" i="2"/>
  <c r="M71" i="2"/>
  <c r="L71" i="2"/>
  <c r="N70" i="2"/>
  <c r="M70" i="2"/>
  <c r="L70" i="2"/>
  <c r="N69" i="2"/>
  <c r="M69" i="2"/>
  <c r="L69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34" i="2"/>
  <c r="M34" i="2"/>
  <c r="L34" i="2"/>
  <c r="N33" i="2"/>
  <c r="M33" i="2"/>
  <c r="L33" i="2"/>
  <c r="N31" i="2"/>
  <c r="M31" i="2"/>
  <c r="L31" i="2"/>
  <c r="N30" i="2"/>
  <c r="M30" i="2"/>
  <c r="L30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80" i="2"/>
  <c r="M80" i="2"/>
  <c r="L80" i="2"/>
  <c r="N29" i="2"/>
  <c r="M29" i="2"/>
  <c r="L29" i="2"/>
  <c r="N79" i="2"/>
  <c r="M79" i="2"/>
  <c r="L79" i="2"/>
  <c r="N78" i="2"/>
  <c r="M78" i="2"/>
  <c r="L78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C3" i="5"/>
  <c r="C3" i="4"/>
  <c r="C3" i="3"/>
  <c r="C9" i="1"/>
  <c r="C8" i="1"/>
  <c r="C7" i="1"/>
  <c r="C10" i="1"/>
  <c r="D9" i="1"/>
  <c r="E9" i="1"/>
  <c r="D8" i="1"/>
  <c r="E8" i="1"/>
  <c r="D7" i="1"/>
  <c r="E7" i="1"/>
  <c r="B10" i="1"/>
  <c r="D10" i="1"/>
  <c r="E10" i="1"/>
</calcChain>
</file>

<file path=xl/sharedStrings.xml><?xml version="1.0" encoding="utf-8"?>
<sst xmlns="http://schemas.openxmlformats.org/spreadsheetml/2006/main" count="535" uniqueCount="269">
  <si>
    <t>CONGRESO NACIONAL DE DETALLADORES 2026</t>
  </si>
  <si>
    <t>Libro Maestro de Operaciones  ·  Versión 2.0  ·  Tablero de control</t>
  </si>
  <si>
    <t>"La excelencia es el resultado de una preparación extraordinaria."</t>
  </si>
  <si>
    <t>AVANCE POR FASE</t>
  </si>
  <si>
    <t>Fase</t>
  </si>
  <si>
    <t>Inventario</t>
  </si>
  <si>
    <t>Tareas</t>
  </si>
  <si>
    <t>Avance global</t>
  </si>
  <si>
    <t>Semáforo</t>
  </si>
  <si>
    <t>Ir a</t>
  </si>
  <si>
    <t>① ANTES</t>
  </si>
  <si>
    <t>Abrir →</t>
  </si>
  <si>
    <t>② DURANTE</t>
  </si>
  <si>
    <t>③ DESPUÉS</t>
  </si>
  <si>
    <t>TOTAL</t>
  </si>
  <si>
    <t>INVENTARIO MAESTRO DE EQUIPO  ·  CNDD 2026</t>
  </si>
  <si>
    <t>DATOS DEL EQUIPO</t>
  </si>
  <si>
    <t>①</t>
  </si>
  <si>
    <t>②</t>
  </si>
  <si>
    <t xml:space="preserve">③ </t>
  </si>
  <si>
    <t>SEGUIMIENTO</t>
  </si>
  <si>
    <t>Categoría</t>
  </si>
  <si>
    <t>Material</t>
  </si>
  <si>
    <t>Cantidad</t>
  </si>
  <si>
    <t>Responsable</t>
  </si>
  <si>
    <t>Conseguido</t>
  </si>
  <si>
    <t>Probado</t>
  </si>
  <si>
    <t>Empacado</t>
  </si>
  <si>
    <t>Cargado</t>
  </si>
  <si>
    <t>Instalado</t>
  </si>
  <si>
    <t>Revisado</t>
  </si>
  <si>
    <t>Regresó</t>
  </si>
  <si>
    <t>Avance ①</t>
  </si>
  <si>
    <t>Avance ②</t>
  </si>
  <si>
    <t>Avance ③</t>
  </si>
  <si>
    <t>Observaciones</t>
  </si>
  <si>
    <t>Equipo de Detallado</t>
  </si>
  <si>
    <t>Pulidoras</t>
  </si>
  <si>
    <t>Mini pulidoras</t>
  </si>
  <si>
    <t>Lámparas de inspección</t>
  </si>
  <si>
    <t>Pads</t>
  </si>
  <si>
    <t>Microfibras</t>
  </si>
  <si>
    <t>Toallas de secado</t>
  </si>
  <si>
    <t>Atomizadores</t>
  </si>
  <si>
    <t>Botellas de dilución</t>
  </si>
  <si>
    <t>Vasos de medida</t>
  </si>
  <si>
    <t>Jarras medidoras</t>
  </si>
  <si>
    <t>Embudos</t>
  </si>
  <si>
    <t>Cepillos</t>
  </si>
  <si>
    <t>Brochas</t>
  </si>
  <si>
    <t>Cubetas</t>
  </si>
  <si>
    <t>Guantes de nitrilo</t>
  </si>
  <si>
    <t>Compresora silenciosa</t>
  </si>
  <si>
    <t>Tornador manual</t>
  </si>
  <si>
    <t>Medición e Inspección</t>
  </si>
  <si>
    <t>Espesómetro</t>
  </si>
  <si>
    <t>Medidor de temperatura infrarrojo</t>
  </si>
  <si>
    <t>Puntero láser de presentación</t>
  </si>
  <si>
    <t>Energía y Herramientas</t>
  </si>
  <si>
    <t>Extensiones</t>
  </si>
  <si>
    <t>Multicontactos</t>
  </si>
  <si>
    <t>Reguladores</t>
  </si>
  <si>
    <t>Cinta americana</t>
  </si>
  <si>
    <t>Cinta canela</t>
  </si>
  <si>
    <t>Cinta masking</t>
  </si>
  <si>
    <t>Cinchos</t>
  </si>
  <si>
    <t>Tijeras</t>
  </si>
  <si>
    <t>Cúter</t>
  </si>
  <si>
    <t>Power Banks</t>
  </si>
  <si>
    <t>Comunicación</t>
  </si>
  <si>
    <t>Radios de comunicación</t>
  </si>
  <si>
    <t>Registro</t>
  </si>
  <si>
    <t>Credenciales</t>
  </si>
  <si>
    <t>Gafetes</t>
  </si>
  <si>
    <t>Portagafetes</t>
  </si>
  <si>
    <t>Pasaporte Técnico</t>
  </si>
  <si>
    <t>Lista de asistentes</t>
  </si>
  <si>
    <t>Plumas</t>
  </si>
  <si>
    <t>Marcadores</t>
  </si>
  <si>
    <t>Staff</t>
  </si>
  <si>
    <t>Camisas</t>
  </si>
  <si>
    <t>Gorras</t>
  </si>
  <si>
    <t>Termos</t>
  </si>
  <si>
    <t>Roles asignados</t>
  </si>
  <si>
    <t>Audio y Video</t>
  </si>
  <si>
    <t>Micrófonos</t>
  </si>
  <si>
    <t>Bocinas</t>
  </si>
  <si>
    <t>Laptop</t>
  </si>
  <si>
    <t>Adaptadores</t>
  </si>
  <si>
    <t>HDMI</t>
  </si>
  <si>
    <t>USB</t>
  </si>
  <si>
    <t>Imagen del Evento</t>
  </si>
  <si>
    <t>Lonas</t>
  </si>
  <si>
    <t>Banner tipo Araña</t>
  </si>
  <si>
    <t>Back CNDD</t>
  </si>
  <si>
    <t>Photocall</t>
  </si>
  <si>
    <t>Señalización</t>
  </si>
  <si>
    <t>Coffee Break</t>
  </si>
  <si>
    <t>Cafetera</t>
  </si>
  <si>
    <t>Café</t>
  </si>
  <si>
    <t>Té</t>
  </si>
  <si>
    <t>Azúcar</t>
  </si>
  <si>
    <t>Vasos</t>
  </si>
  <si>
    <t>Vasos unicel</t>
  </si>
  <si>
    <t>Platos</t>
  </si>
  <si>
    <t>Cucharas</t>
  </si>
  <si>
    <t>Servilletas</t>
  </si>
  <si>
    <t>Garrafón</t>
  </si>
  <si>
    <t>Bolsas de basura</t>
  </si>
  <si>
    <t>Refrescos</t>
  </si>
  <si>
    <t>Agua</t>
  </si>
  <si>
    <t>Hielo</t>
  </si>
  <si>
    <t>Hielera</t>
  </si>
  <si>
    <t>Botanas</t>
  </si>
  <si>
    <t>IDA</t>
  </si>
  <si>
    <t>Exámenes</t>
  </si>
  <si>
    <t>Mesas</t>
  </si>
  <si>
    <t>Sillas</t>
  </si>
  <si>
    <t>Patrocinadores</t>
  </si>
  <si>
    <t>Gtechniq</t>
  </si>
  <si>
    <t>Menzerna</t>
  </si>
  <si>
    <t>Q²</t>
  </si>
  <si>
    <t>Marflo</t>
  </si>
  <si>
    <t>Liquid Elements</t>
  </si>
  <si>
    <t>ZAAZ</t>
  </si>
  <si>
    <t>Wash Monkey</t>
  </si>
  <si>
    <t>Stinger</t>
  </si>
  <si>
    <t>Vaporza</t>
  </si>
  <si>
    <t>Tonyin</t>
  </si>
  <si>
    <t>Nanoskin</t>
  </si>
  <si>
    <t>OP Academy</t>
  </si>
  <si>
    <t>IDA México</t>
  </si>
  <si>
    <t>Malco</t>
  </si>
  <si>
    <t>Vehículos</t>
  </si>
  <si>
    <t>Autos</t>
  </si>
  <si>
    <t>Llaves</t>
  </si>
  <si>
    <t>Combustible</t>
  </si>
  <si>
    <t>Dinámicas</t>
  </si>
  <si>
    <t>Material jueves</t>
  </si>
  <si>
    <t>Material viernes</t>
  </si>
  <si>
    <t>Visita autolavado</t>
  </si>
  <si>
    <t>Emergencias</t>
  </si>
  <si>
    <t>Botiquín</t>
  </si>
  <si>
    <t>Extensiones extra</t>
  </si>
  <si>
    <t>Multicontactos extra</t>
  </si>
  <si>
    <t>Herramientas</t>
  </si>
  <si>
    <t>① ANTES DEL CONGRESO</t>
  </si>
  <si>
    <t>Preparación · días previos (hasta el 29 de julio)</t>
  </si>
  <si>
    <t>Avance de esta fase:</t>
  </si>
  <si>
    <t>#</t>
  </si>
  <si>
    <t>Bloque / Momento</t>
  </si>
  <si>
    <t>Tarea</t>
  </si>
  <si>
    <t>Fecha límite</t>
  </si>
  <si>
    <t>Estado</t>
  </si>
  <si>
    <t>LOGÍSTICA Y SEDE</t>
  </si>
  <si>
    <t>Sede</t>
  </si>
  <si>
    <t>Confirmar reservación y salones — Hotel Racquet Cuernavaca</t>
  </si>
  <si>
    <t>Pendiente</t>
  </si>
  <si>
    <t>Confirmar cantidades de coffee break y alimentos según # de asistentes</t>
  </si>
  <si>
    <t>Confirmar visita a autolavado (Dinámicas)</t>
  </si>
  <si>
    <t>EQUIPO Y MATERIAL</t>
  </si>
  <si>
    <t>Equipo</t>
  </si>
  <si>
    <t>Probar TODO el equipo de detallado (pulidoras, compresora, tornador)</t>
  </si>
  <si>
    <t>Cargar baterías de radios y power banks</t>
  </si>
  <si>
    <t>Empacar y cargar material a vehículos (ver Inventario Maestro)</t>
  </si>
  <si>
    <t>Verificar combustible y llaves de vehículos</t>
  </si>
  <si>
    <t>Armar kit de emergencias (botiquín, extensiones/multicontactos extra)</t>
  </si>
  <si>
    <t>REGISTRO E IMAGEN</t>
  </si>
  <si>
    <t>Imprimir credenciales, gafetes y pasaporte técnico</t>
  </si>
  <si>
    <t>Cerrar lista de asistentes definitiva</t>
  </si>
  <si>
    <t>Imagen</t>
  </si>
  <si>
    <t>Diseñar y mandar imprimir lonas, back CNDD, photocall y señalización</t>
  </si>
  <si>
    <t>PATROCINADORES Y CONTENIDO</t>
  </si>
  <si>
    <t>Patroc.</t>
  </si>
  <si>
    <t>Confirmar asistencia y necesidades de los 14 patrocinadores</t>
  </si>
  <si>
    <t>Preparar exámenes y material de certificación IDA</t>
  </si>
  <si>
    <t>A/V</t>
  </si>
  <si>
    <t>Probar audio, micrófonos, laptop y cargar presentaciones</t>
  </si>
  <si>
    <t>Preparar material de dinámicas de jueves y viernes</t>
  </si>
  <si>
    <t>STAFF</t>
  </si>
  <si>
    <t>Entregar camisas, gorras y termos al staff</t>
  </si>
  <si>
    <t>Reunión final de staff y confirmar roles asignados</t>
  </si>
  <si>
    <t>② DURANTE EL CONGRESO</t>
  </si>
  <si>
    <t>Ejecución · 30, 31 jul y 1 ago 2026 · Hotel Racquet Cuernavaca</t>
  </si>
  <si>
    <t>JUEVES 30 DE JULIO</t>
  </si>
  <si>
    <t>Jue 30</t>
  </si>
  <si>
    <t>Montaje de sede: imagen, señalización y photocall</t>
  </si>
  <si>
    <t>Instalación de audio y video + prueba de sonido</t>
  </si>
  <si>
    <t>Montaje de mesas y sillas (IDA)</t>
  </si>
  <si>
    <t>Apertura de registro y entrega de gafetes</t>
  </si>
  <si>
    <t>Coffee break montado y operando</t>
  </si>
  <si>
    <t>Dinámica de jueves</t>
  </si>
  <si>
    <t>VIERNES 31 DE JULIO</t>
  </si>
  <si>
    <t>Vie 31</t>
  </si>
  <si>
    <t>Registro de rezagados</t>
  </si>
  <si>
    <t>Sesiones técnicas y demostraciones de patrocinadores</t>
  </si>
  <si>
    <t>Reposición de consumibles (microfibras, pads, diluciones)</t>
  </si>
  <si>
    <t>Coffee break</t>
  </si>
  <si>
    <t>Dinámica de viernes</t>
  </si>
  <si>
    <t>SÁBADO 1 DE AGOSTO</t>
  </si>
  <si>
    <t>Sáb 1</t>
  </si>
  <si>
    <t>Aplicación de exámenes IDA</t>
  </si>
  <si>
    <t>Sesión de cierre</t>
  </si>
  <si>
    <t>Fotografía grupal en photocall</t>
  </si>
  <si>
    <t>Reconocimientos / premiaciones</t>
  </si>
  <si>
    <t>OPERACIÓN CONTINUA (los 3 días)</t>
  </si>
  <si>
    <t>Continuo</t>
  </si>
  <si>
    <t>Radios operativos y coordinación por área</t>
  </si>
  <si>
    <t>Monitoreo de emergencias y botiquín accesible</t>
  </si>
  <si>
    <t>Control de inventario en piso (Instalado/Revisado)</t>
  </si>
  <si>
    <t>③ DESPUÉS DEL CONGRESO</t>
  </si>
  <si>
    <t>Cierre y seguimiento · a partir del 2 de agosto</t>
  </si>
  <si>
    <t>CIERRE OPERATIVO</t>
  </si>
  <si>
    <t>Cierre</t>
  </si>
  <si>
    <t>Regreso y conteo de TODO el equipo (marcar 'Regresó' en Inventario)</t>
  </si>
  <si>
    <t>Revisar daños o faltantes de equipo</t>
  </si>
  <si>
    <t>Devolver equipo rentado</t>
  </si>
  <si>
    <t>Segui.</t>
  </si>
  <si>
    <t>Reporte de resultados de exámenes IDA</t>
  </si>
  <si>
    <t>Agradecimiento formal a los 14 patrocinadores</t>
  </si>
  <si>
    <t>Enviar encuesta de satisfacción a asistentes</t>
  </si>
  <si>
    <t>Respaldo de fotos y video del evento</t>
  </si>
  <si>
    <t>BALANCE</t>
  </si>
  <si>
    <t>Balance</t>
  </si>
  <si>
    <t>Corte de caja: gastos reales vs presupuesto</t>
  </si>
  <si>
    <t>Reunión de retroalimentación con staff</t>
  </si>
  <si>
    <t>Reporte final del congreso (aprendizajes y mejoras)</t>
  </si>
  <si>
    <t>DIRECTORIO DE RESPONSABLES</t>
  </si>
  <si>
    <t>Área</t>
  </si>
  <si>
    <t>Notas</t>
  </si>
  <si>
    <t>Responsable General</t>
  </si>
  <si>
    <t>Alfredo Rodriguez</t>
  </si>
  <si>
    <t>Luis Gerardo Rodríguez</t>
  </si>
  <si>
    <t>Mirna Solis</t>
  </si>
  <si>
    <t>Pavel Sanchez</t>
  </si>
  <si>
    <t>Jully Rodriguez</t>
  </si>
  <si>
    <t>Marco Rivas</t>
  </si>
  <si>
    <t>Yatziri Rodriguez</t>
  </si>
  <si>
    <t>PENDIENTES DE ÚLTIMO MOMENTO</t>
  </si>
  <si>
    <t>Microfonos</t>
  </si>
  <si>
    <t>Hecho</t>
  </si>
  <si>
    <t>Proyector</t>
  </si>
  <si>
    <t>Cargadores de baterías</t>
  </si>
  <si>
    <t>LISTA DE ASIGNACIÓN DE EQUIPO · CNDD 2026</t>
  </si>
  <si>
    <t>N.º / Equipo</t>
  </si>
  <si>
    <t>Área / Rol</t>
  </si>
  <si>
    <t>Hora de entrega</t>
  </si>
  <si>
    <t>Hora de devolución</t>
  </si>
  <si>
    <t>RADIO 1</t>
  </si>
  <si>
    <t>RADIO 2</t>
  </si>
  <si>
    <t>RADIO 3</t>
  </si>
  <si>
    <t>RADIO 4</t>
  </si>
  <si>
    <t>RADIO 5</t>
  </si>
  <si>
    <t>RADIO 6</t>
  </si>
  <si>
    <t xml:space="preserve">Baterías para microfonos </t>
  </si>
  <si>
    <t>Baterías AAA</t>
  </si>
  <si>
    <t>Baterías AA</t>
  </si>
  <si>
    <t xml:space="preserve">1 microfono no funciona, no se mando arreglar </t>
  </si>
  <si>
    <t>Lista de asignación radios</t>
  </si>
  <si>
    <t>Necesitamos 24 en total</t>
  </si>
  <si>
    <t>Necesitamos 12 en total</t>
  </si>
  <si>
    <t>30, 31 de julio y 1 de agosto de 2026  ·  Responsable General: Gerardo Rodríguez Miranda</t>
  </si>
  <si>
    <t>Gerardo Rodríguez Miranda</t>
  </si>
  <si>
    <t xml:space="preserve">Desmontaje </t>
  </si>
  <si>
    <t>Ventilador para laptop</t>
  </si>
  <si>
    <t>Salsas</t>
  </si>
  <si>
    <t>Microfonos para celular</t>
  </si>
  <si>
    <t>Estabilizador para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</si>
</sst>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Calibri"/>
      <scheme val="minor"/>
    </font>
    <font>
      <b/>
      <sz val="18"/>
      <color rgb="FFFFFFFF"/>
      <name val="Arial"/>
    </font>
    <font>
      <sz val="11"/>
      <name val="Calibri"/>
    </font>
    <font>
      <b/>
      <sz val="11"/>
      <color rgb="FF1F3864"/>
      <name val="Arial"/>
    </font>
    <font>
      <sz val="10"/>
      <color rgb="FF404040"/>
      <name val="Arial"/>
    </font>
    <font>
      <i/>
      <sz val="10"/>
      <color rgb="FF80808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sz val="11"/>
      <color theme="1"/>
      <name val="Calibri"/>
    </font>
    <font>
      <b/>
      <sz val="11"/>
      <color rgb="FFFFFFFF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808080"/>
      <name val="Arial"/>
    </font>
    <font>
      <b/>
      <sz val="10"/>
      <color rgb="FF1F3864"/>
      <name val="Arial"/>
    </font>
    <font>
      <b/>
      <sz val="14"/>
      <color rgb="FF1F3864"/>
      <name val="Arial"/>
    </font>
    <font>
      <u/>
      <sz val="11"/>
      <color theme="10"/>
      <name val="Calibri"/>
      <scheme val="minor"/>
    </font>
    <font>
      <sz val="10"/>
      <color theme="1"/>
      <name val="Arial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0F0"/>
        <bgColor rgb="FFD6E0F0"/>
      </patternFill>
    </fill>
    <fill>
      <patternFill patternType="solid">
        <fgColor rgb="FF44546A"/>
        <bgColor rgb="FF44546A"/>
      </patternFill>
    </fill>
    <fill>
      <patternFill patternType="solid">
        <fgColor rgb="FF2E5496"/>
        <bgColor rgb="FF2E5496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2F5FA"/>
        <bgColor rgb="FFF2F5FA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7">
    <xf numFmtId="0" fontId="0" fillId="0" borderId="0" xfId="0"/>
    <xf numFmtId="0" fontId="7" fillId="5" borderId="5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6" borderId="1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7" borderId="1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8" borderId="1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9" fontId="17" fillId="0" borderId="0" xfId="0" applyNumberFormat="1" applyFont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0" borderId="1" xfId="1" applyBorder="1" applyAlignment="1" applyProtection="1">
      <alignment horizontal="center" vertical="center" wrapText="1"/>
      <protection locked="0"/>
    </xf>
    <xf numFmtId="0" fontId="7" fillId="11" borderId="1" xfId="0" applyFont="1" applyFill="1" applyBorder="1" applyAlignment="1">
      <alignment horizontal="center" wrapText="1"/>
    </xf>
    <xf numFmtId="0" fontId="19" fillId="12" borderId="1" xfId="0" applyFont="1" applyFill="1" applyBorder="1" applyAlignment="1">
      <alignment wrapText="1"/>
    </xf>
    <xf numFmtId="0" fontId="19" fillId="13" borderId="1" xfId="0" applyFont="1" applyFill="1" applyBorder="1" applyAlignment="1">
      <alignment wrapText="1"/>
    </xf>
    <xf numFmtId="164" fontId="13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1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7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 applyProtection="1">
      <alignment wrapText="1"/>
      <protection locked="0"/>
    </xf>
    <xf numFmtId="0" fontId="2" fillId="0" borderId="4" xfId="0" applyFont="1" applyBorder="1" applyAlignment="1" applyProtection="1">
      <alignment wrapText="1"/>
      <protection locked="0"/>
    </xf>
    <xf numFmtId="0" fontId="16" fillId="6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16" fillId="7" borderId="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15"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microsoft.com/office/2022/11/relationships/FeaturePropertyBag" Target="featurePropertyBag/featurePropertyBag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D70735-C52F-436C-A201-1014B96291A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89e3206-0b1d-4948-a404-9c1bda29082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6"/>
  <sheetViews>
    <sheetView showGridLines="0" zoomScale="137" workbookViewId="0">
      <selection activeCell="A12" sqref="A12:XFD17"/>
    </sheetView>
  </sheetViews>
  <sheetFormatPr defaultColWidth="14.390625" defaultRowHeight="15" customHeight="1" x14ac:dyDescent="0.2"/>
  <cols>
    <col min="1" max="1" width="24.34765625" customWidth="1"/>
    <col min="2" max="2" width="16.0078125" customWidth="1"/>
    <col min="3" max="3" width="13.98828125" customWidth="1"/>
    <col min="4" max="5" width="16.0078125" customWidth="1"/>
    <col min="6" max="6" width="11.97265625" customWidth="1"/>
    <col min="7" max="26" width="8.609375" customWidth="1"/>
  </cols>
  <sheetData>
    <row r="1" spans="1:6" ht="26.45" customHeight="1" x14ac:dyDescent="0.2">
      <c r="A1" s="31" t="s">
        <v>0</v>
      </c>
      <c r="B1" s="28"/>
      <c r="C1" s="28"/>
      <c r="D1" s="28"/>
      <c r="E1" s="28"/>
      <c r="F1" s="28"/>
    </row>
    <row r="2" spans="1:6" ht="26.45" customHeight="1" x14ac:dyDescent="0.2">
      <c r="A2" s="32" t="s">
        <v>1</v>
      </c>
      <c r="B2" s="28"/>
      <c r="C2" s="28"/>
      <c r="D2" s="28"/>
      <c r="E2" s="28"/>
      <c r="F2" s="28"/>
    </row>
    <row r="3" spans="1:6" ht="26.45" customHeight="1" x14ac:dyDescent="0.2">
      <c r="A3" s="33" t="s">
        <v>261</v>
      </c>
      <c r="B3" s="34"/>
      <c r="C3" s="34"/>
      <c r="D3" s="34"/>
      <c r="E3" s="34"/>
      <c r="F3" s="34"/>
    </row>
    <row r="4" spans="1:6" ht="26.45" customHeight="1" x14ac:dyDescent="0.2">
      <c r="A4" s="35" t="s">
        <v>2</v>
      </c>
      <c r="B4" s="34"/>
      <c r="C4" s="34"/>
      <c r="D4" s="34"/>
      <c r="E4" s="34"/>
      <c r="F4" s="34"/>
    </row>
    <row r="5" spans="1:6" ht="26.45" customHeight="1" x14ac:dyDescent="0.2">
      <c r="A5" s="36" t="s">
        <v>3</v>
      </c>
      <c r="B5" s="28"/>
      <c r="C5" s="28"/>
      <c r="D5" s="28"/>
      <c r="E5" s="28"/>
      <c r="F5" s="28"/>
    </row>
    <row r="6" spans="1:6" ht="26.45" customHeight="1" x14ac:dyDescent="0.2">
      <c r="A6" s="13" t="s">
        <v>4</v>
      </c>
      <c r="B6" s="13" t="s">
        <v>5</v>
      </c>
      <c r="C6" s="13" t="s">
        <v>6</v>
      </c>
      <c r="D6" s="13" t="s">
        <v>7</v>
      </c>
      <c r="E6" s="13" t="s">
        <v>8</v>
      </c>
      <c r="F6" s="13" t="s">
        <v>9</v>
      </c>
    </row>
    <row r="7" spans="1:6" ht="26.45" customHeight="1" x14ac:dyDescent="0.2">
      <c r="A7" s="15" t="s">
        <v>10</v>
      </c>
      <c r="B7" s="16">
        <f>COUNTIF('INVENTARIO MAESTRO'!E4:H108,TRUE)/(COUNTA('INVENTARIO MAESTRO'!B4:B108)*4)</f>
        <v>0.23333333333333334</v>
      </c>
      <c r="C7" s="16">
        <f>IFERROR(COUNTIF(ANTES!F6:F27,"Hecho")/COUNT(ANTES!A6:A27),0)</f>
        <v>5.8823529411764705E-2</v>
      </c>
      <c r="D7" s="16">
        <f t="shared" ref="D7:D9" si="0">AVERAGE(B7:C7)</f>
        <v>0.14607843137254903</v>
      </c>
      <c r="E7" s="17" t="str">
        <f t="shared" ref="E7:E10" si="1">IF(D7&gt;=0.9,"● LISTO",IF(D7&gt;=0.5,"● EN CURSO","● PENDIENTE"))</f>
        <v>● PENDIENTE</v>
      </c>
      <c r="F7" s="21" t="s">
        <v>11</v>
      </c>
    </row>
    <row r="8" spans="1:6" ht="26.45" customHeight="1" x14ac:dyDescent="0.2">
      <c r="A8" s="15" t="s">
        <v>12</v>
      </c>
      <c r="B8" s="16">
        <f>COUNTIF('INVENTARIO MAESTRO'!I4:J108,TRUE)/(COUNTA('INVENTARIO MAESTRO'!B4:B108)*2)</f>
        <v>0</v>
      </c>
      <c r="C8" s="16">
        <f>IFERROR(COUNTIF(DURANTE!F6:F27,"Hecho")/COUNT(DURANTE!A6:A27),0)</f>
        <v>0</v>
      </c>
      <c r="D8" s="16">
        <f t="shared" si="0"/>
        <v>0</v>
      </c>
      <c r="E8" s="17" t="str">
        <f t="shared" si="1"/>
        <v>● PENDIENTE</v>
      </c>
      <c r="F8" s="21" t="s">
        <v>11</v>
      </c>
    </row>
    <row r="9" spans="1:6" ht="26.45" customHeight="1" x14ac:dyDescent="0.2">
      <c r="A9" s="15" t="s">
        <v>13</v>
      </c>
      <c r="B9" s="16">
        <f>COUNTIF('INVENTARIO MAESTRO'!K4:K108,TRUE)/COUNTA('INVENTARIO MAESTRO'!B4:B108)</f>
        <v>0</v>
      </c>
      <c r="C9" s="16">
        <f>IFERROR(COUNTIF(DESPUÉS!F6:F19,"Hecho")/COUNT(DESPUÉS!A6:A19),0)</f>
        <v>0</v>
      </c>
      <c r="D9" s="16">
        <f t="shared" si="0"/>
        <v>0</v>
      </c>
      <c r="E9" s="17" t="str">
        <f t="shared" si="1"/>
        <v>● PENDIENTE</v>
      </c>
      <c r="F9" s="21" t="s">
        <v>11</v>
      </c>
    </row>
    <row r="10" spans="1:6" ht="26.45" customHeight="1" x14ac:dyDescent="0.2">
      <c r="A10" s="18" t="s">
        <v>14</v>
      </c>
      <c r="B10" s="19">
        <f t="shared" ref="B10:D10" si="2">AVERAGE(B7:B9)</f>
        <v>7.7777777777777779E-2</v>
      </c>
      <c r="C10" s="19">
        <f t="shared" si="2"/>
        <v>1.9607843137254902E-2</v>
      </c>
      <c r="D10" s="19">
        <f t="shared" si="2"/>
        <v>4.869281045751634E-2</v>
      </c>
      <c r="E10" s="20" t="str">
        <f t="shared" si="1"/>
        <v>● PENDIENTE</v>
      </c>
      <c r="F10" s="15"/>
    </row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sheetProtection sort="0" autoFilter="0"/>
  <mergeCells count="5">
    <mergeCell ref="A1:F1"/>
    <mergeCell ref="A2:F2"/>
    <mergeCell ref="A3:F3"/>
    <mergeCell ref="A4:F4"/>
    <mergeCell ref="A5:F5"/>
  </mergeCells>
  <conditionalFormatting sqref="B7:B9">
    <cfRule type="colorScale" priority="1">
      <colorScale>
        <cfvo type="formula" val="0"/>
        <cfvo type="formula" val="0.5"/>
        <cfvo type="formula" val="1"/>
        <color rgb="FFFFC7CE"/>
        <color rgb="FFFFEB9C"/>
        <color rgb="FFC6EFCE"/>
      </colorScale>
    </cfRule>
  </conditionalFormatting>
  <conditionalFormatting sqref="C7:C9">
    <cfRule type="colorScale" priority="2">
      <colorScale>
        <cfvo type="formula" val="0"/>
        <cfvo type="formula" val="0.5"/>
        <cfvo type="formula" val="1"/>
        <color rgb="FFFFC7CE"/>
        <color rgb="FFFFEB9C"/>
        <color rgb="FFC6EFCE"/>
      </colorScale>
    </cfRule>
  </conditionalFormatting>
  <conditionalFormatting sqref="D7:D9">
    <cfRule type="colorScale" priority="3">
      <colorScale>
        <cfvo type="formula" val="0"/>
        <cfvo type="formula" val="0.5"/>
        <cfvo type="formula" val="1"/>
        <color rgb="FFFFC7CE"/>
        <color rgb="FFFFEB9C"/>
        <color rgb="FFC6EFCE"/>
      </colorScale>
    </cfRule>
  </conditionalFormatting>
  <conditionalFormatting sqref="E7:E10">
    <cfRule type="expression" dxfId="14" priority="4">
      <formula>ISNUMBER(SEARCH("CURSO",E7))</formula>
    </cfRule>
    <cfRule type="expression" dxfId="13" priority="5">
      <formula>ISNUMBER(SEARCH("PENDIENTE",E7))</formula>
    </cfRule>
  </conditionalFormatting>
  <hyperlinks>
    <hyperlink ref="F7" location="ANTES!A1" tooltip="Ir a la hoja ANTES" display="Abrir →" xr:uid="{00000000-0004-0000-0000-000000000000}"/>
    <hyperlink ref="F8" location="DURANTE!A1" tooltip="Ir a la hoja DURANTE" display="Abrir →" xr:uid="{00000000-0004-0000-0000-000001000000}"/>
    <hyperlink ref="F9" location="DESPUÉS!A1" tooltip="Ir a la hoja DESPUÉS" display="Abrir →" xr:uid="{00000000-0004-0000-0000-000002000000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showGridLines="0" tabSelected="1"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B9" sqref="B9"/>
    </sheetView>
  </sheetViews>
  <sheetFormatPr defaultColWidth="14.390625" defaultRowHeight="19.899999999999999" customHeight="1" x14ac:dyDescent="0.2"/>
  <cols>
    <col min="1" max="1" width="22.05859375" customWidth="1"/>
    <col min="2" max="2" width="25.9609375" customWidth="1"/>
    <col min="3" max="3" width="9.01171875" customWidth="1"/>
    <col min="4" max="4" width="18.0234375" customWidth="1"/>
    <col min="5" max="5" width="11.02734375" customWidth="1"/>
    <col min="6" max="7" width="9.953125" customWidth="1"/>
    <col min="8" max="8" width="9.01171875" customWidth="1"/>
    <col min="9" max="9" width="9.953125" customWidth="1"/>
    <col min="10" max="14" width="9.01171875" customWidth="1"/>
    <col min="15" max="15" width="27.98046875" customWidth="1"/>
    <col min="16" max="26" width="8.609375" customWidth="1"/>
  </cols>
  <sheetData>
    <row r="1" spans="1:15" ht="26.45" customHeight="1" x14ac:dyDescent="0.2">
      <c r="A1" s="27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26.45" customHeight="1" x14ac:dyDescent="0.2">
      <c r="A2" s="29" t="s">
        <v>16</v>
      </c>
      <c r="B2" s="28"/>
      <c r="C2" s="28"/>
      <c r="D2" s="28"/>
      <c r="E2" s="30" t="s">
        <v>17</v>
      </c>
      <c r="F2" s="28"/>
      <c r="G2" s="28"/>
      <c r="H2" s="28"/>
      <c r="I2" s="30" t="s">
        <v>18</v>
      </c>
      <c r="J2" s="28"/>
      <c r="K2" s="1" t="s">
        <v>19</v>
      </c>
      <c r="L2" s="29" t="s">
        <v>20</v>
      </c>
      <c r="M2" s="28"/>
      <c r="N2" s="28"/>
      <c r="O2" s="28"/>
    </row>
    <row r="3" spans="1:15" ht="26.45" customHeight="1" x14ac:dyDescent="0.2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</row>
    <row r="4" spans="1:15" ht="26.45" customHeight="1" x14ac:dyDescent="0.2">
      <c r="A4" s="3" t="s">
        <v>84</v>
      </c>
      <c r="B4" s="4" t="s">
        <v>85</v>
      </c>
      <c r="C4" s="6">
        <v>5</v>
      </c>
      <c r="D4" s="4" t="str">
        <f>IFERROR(_xlfn.XLOOKUP($A4,'DIRECTORIO Y PENDIENTES'!$A$4:$A$17,'DIRECTORIO Y PENDIENTES'!$B$4:$B$17,""),"")</f>
        <v>Luis Gerardo Rodríguez</v>
      </c>
      <c r="E4" s="7" t="b">
        <v>1</v>
      </c>
      <c r="F4" s="7" t="b">
        <v>1</v>
      </c>
      <c r="G4" s="7" t="b">
        <v>1</v>
      </c>
      <c r="H4" s="7" t="b">
        <v>0</v>
      </c>
      <c r="I4" s="8" t="b">
        <v>0</v>
      </c>
      <c r="J4" s="8" t="b">
        <v>0</v>
      </c>
      <c r="K4" s="9" t="b">
        <v>0</v>
      </c>
      <c r="L4" s="5">
        <f>COUNTIF(E4:H4,TRUE)/4</f>
        <v>0.75</v>
      </c>
      <c r="M4" s="5">
        <f>COUNTIF(I4:J4,TRUE)/2</f>
        <v>0</v>
      </c>
      <c r="N4" s="5">
        <f>COUNTIF(K4,TRUE)/1</f>
        <v>0</v>
      </c>
      <c r="O4" s="11" t="s">
        <v>257</v>
      </c>
    </row>
    <row r="5" spans="1:15" ht="26.45" customHeight="1" x14ac:dyDescent="0.2">
      <c r="A5" s="3" t="s">
        <v>84</v>
      </c>
      <c r="B5" s="4" t="s">
        <v>86</v>
      </c>
      <c r="C5" s="6">
        <v>1</v>
      </c>
      <c r="D5" s="4" t="str">
        <f>IFERROR(_xlfn.XLOOKUP($A5,'DIRECTORIO Y PENDIENTES'!$A$4:$A$17,'DIRECTORIO Y PENDIENTES'!$B$4:$B$17,""),"")</f>
        <v>Luis Gerardo Rodríguez</v>
      </c>
      <c r="E5" s="7" t="b">
        <v>1</v>
      </c>
      <c r="F5" s="7" t="b">
        <v>1</v>
      </c>
      <c r="G5" s="7" t="b">
        <v>1</v>
      </c>
      <c r="H5" s="7" t="b">
        <v>0</v>
      </c>
      <c r="I5" s="8" t="b">
        <v>0</v>
      </c>
      <c r="J5" s="8" t="b">
        <v>0</v>
      </c>
      <c r="K5" s="9" t="b">
        <v>0</v>
      </c>
      <c r="L5" s="5">
        <f>COUNTIF(E5:H5,TRUE)/4</f>
        <v>0.75</v>
      </c>
      <c r="M5" s="5">
        <f>COUNTIF(I5:J5,TRUE)/2</f>
        <v>0</v>
      </c>
      <c r="N5" s="5">
        <f>COUNTIF(K5,TRUE)/1</f>
        <v>0</v>
      </c>
      <c r="O5" s="11"/>
    </row>
    <row r="6" spans="1:15" ht="26.45" customHeight="1" x14ac:dyDescent="0.2">
      <c r="A6" s="3" t="s">
        <v>84</v>
      </c>
      <c r="B6" s="4" t="s">
        <v>87</v>
      </c>
      <c r="C6" s="6">
        <v>1</v>
      </c>
      <c r="D6" s="4" t="str">
        <f>IFERROR(_xlfn.XLOOKUP($A6,'DIRECTORIO Y PENDIENTES'!$A$4:$A$17,'DIRECTORIO Y PENDIENTES'!$B$4:$B$17,""),"")</f>
        <v>Luis Gerardo Rodríguez</v>
      </c>
      <c r="E6" s="7" t="b">
        <v>1</v>
      </c>
      <c r="F6" s="7" t="b">
        <v>1</v>
      </c>
      <c r="G6" s="7" t="b">
        <v>0</v>
      </c>
      <c r="H6" s="7" t="b">
        <v>0</v>
      </c>
      <c r="I6" s="8" t="b">
        <v>0</v>
      </c>
      <c r="J6" s="8" t="b">
        <v>0</v>
      </c>
      <c r="K6" s="9" t="b">
        <v>0</v>
      </c>
      <c r="L6" s="5">
        <f>COUNTIF(E6:H6,TRUE)/4</f>
        <v>0.5</v>
      </c>
      <c r="M6" s="5">
        <f>COUNTIF(I6:J6,TRUE)/2</f>
        <v>0</v>
      </c>
      <c r="N6" s="5">
        <f>COUNTIF(K6,TRUE)/1</f>
        <v>0</v>
      </c>
      <c r="O6" s="11"/>
    </row>
    <row r="7" spans="1:15" ht="26.45" customHeight="1" x14ac:dyDescent="0.2">
      <c r="A7" s="3" t="s">
        <v>84</v>
      </c>
      <c r="B7" s="4" t="s">
        <v>88</v>
      </c>
      <c r="C7" s="6">
        <v>2</v>
      </c>
      <c r="D7" s="4" t="str">
        <f>IFERROR(_xlfn.XLOOKUP($A7,'DIRECTORIO Y PENDIENTES'!$A$4:$A$17,'DIRECTORIO Y PENDIENTES'!$B$4:$B$17,""),"")</f>
        <v>Luis Gerardo Rodríguez</v>
      </c>
      <c r="E7" s="7" t="b">
        <v>1</v>
      </c>
      <c r="F7" s="7" t="b">
        <v>1</v>
      </c>
      <c r="G7" s="7" t="b">
        <v>0</v>
      </c>
      <c r="H7" s="7" t="b">
        <v>0</v>
      </c>
      <c r="I7" s="8" t="b">
        <v>0</v>
      </c>
      <c r="J7" s="8" t="b">
        <v>0</v>
      </c>
      <c r="K7" s="9" t="b">
        <v>0</v>
      </c>
      <c r="L7" s="5">
        <f>COUNTIF(E7:H7,TRUE)/4</f>
        <v>0.5</v>
      </c>
      <c r="M7" s="5">
        <f>COUNTIF(I7:J7,TRUE)/2</f>
        <v>0</v>
      </c>
      <c r="N7" s="5">
        <f>COUNTIF(K7,TRUE)/1</f>
        <v>0</v>
      </c>
      <c r="O7" s="11"/>
    </row>
    <row r="8" spans="1:15" ht="26.45" customHeight="1" x14ac:dyDescent="0.2">
      <c r="A8" s="3" t="s">
        <v>84</v>
      </c>
      <c r="B8" s="4" t="s">
        <v>89</v>
      </c>
      <c r="C8" s="6">
        <v>1</v>
      </c>
      <c r="D8" s="4" t="str">
        <f>IFERROR(_xlfn.XLOOKUP($A8,'DIRECTORIO Y PENDIENTES'!$A$4:$A$17,'DIRECTORIO Y PENDIENTES'!$B$4:$B$17,""),"")</f>
        <v>Luis Gerardo Rodríguez</v>
      </c>
      <c r="E8" s="7" t="b">
        <v>1</v>
      </c>
      <c r="F8" s="7" t="b">
        <v>1</v>
      </c>
      <c r="G8" s="7" t="b">
        <v>0</v>
      </c>
      <c r="H8" s="7" t="b">
        <v>0</v>
      </c>
      <c r="I8" s="8" t="b">
        <v>0</v>
      </c>
      <c r="J8" s="8" t="b">
        <v>0</v>
      </c>
      <c r="K8" s="9" t="b">
        <v>0</v>
      </c>
      <c r="L8" s="5">
        <f>COUNTIF(E8:H8,TRUE)/4</f>
        <v>0.5</v>
      </c>
      <c r="M8" s="5">
        <f>COUNTIF(I8:J8,TRUE)/2</f>
        <v>0</v>
      </c>
      <c r="N8" s="5">
        <f>COUNTIF(K8,TRUE)/1</f>
        <v>0</v>
      </c>
      <c r="O8" s="11"/>
    </row>
    <row r="9" spans="1:15" ht="26.45" customHeight="1" x14ac:dyDescent="0.2">
      <c r="A9" s="3" t="s">
        <v>84</v>
      </c>
      <c r="B9" s="4" t="s">
        <v>90</v>
      </c>
      <c r="C9" s="6">
        <v>1</v>
      </c>
      <c r="D9" s="4" t="str">
        <f>IFERROR(_xlfn.XLOOKUP($A9,'DIRECTORIO Y PENDIENTES'!$A$4:$A$17,'DIRECTORIO Y PENDIENTES'!$B$4:$B$17,""),"")</f>
        <v>Luis Gerardo Rodríguez</v>
      </c>
      <c r="E9" s="7" t="b">
        <v>1</v>
      </c>
      <c r="F9" s="7" t="b">
        <v>1</v>
      </c>
      <c r="G9" s="7" t="b">
        <v>0</v>
      </c>
      <c r="H9" s="7" t="b">
        <v>0</v>
      </c>
      <c r="I9" s="8" t="b">
        <v>0</v>
      </c>
      <c r="J9" s="8" t="b">
        <v>0</v>
      </c>
      <c r="K9" s="9" t="b">
        <v>0</v>
      </c>
      <c r="L9" s="5">
        <f>COUNTIF(E9:H9,TRUE)/4</f>
        <v>0.5</v>
      </c>
      <c r="M9" s="5">
        <f>COUNTIF(I9:J9,TRUE)/2</f>
        <v>0</v>
      </c>
      <c r="N9" s="5">
        <f>COUNTIF(K9,TRUE)/1</f>
        <v>0</v>
      </c>
      <c r="O9" s="11"/>
    </row>
    <row r="10" spans="1:15" ht="26.45" customHeight="1" x14ac:dyDescent="0.2">
      <c r="A10" s="3" t="s">
        <v>84</v>
      </c>
      <c r="B10" s="4" t="s">
        <v>241</v>
      </c>
      <c r="C10" s="6">
        <v>1</v>
      </c>
      <c r="D10" s="4" t="str">
        <f>IFERROR(_xlfn.XLOOKUP($A10,'DIRECTORIO Y PENDIENTES'!$A$4:$A$17,'DIRECTORIO Y PENDIENTES'!$B$4:$B$17,""),"")</f>
        <v>Luis Gerardo Rodríguez</v>
      </c>
      <c r="E10" s="7" t="b">
        <v>1</v>
      </c>
      <c r="F10" s="7" t="b">
        <v>1</v>
      </c>
      <c r="G10" s="7" t="b">
        <v>1</v>
      </c>
      <c r="H10" s="7" t="b">
        <v>0</v>
      </c>
      <c r="I10" s="8" t="b">
        <v>0</v>
      </c>
      <c r="J10" s="8" t="b">
        <v>0</v>
      </c>
      <c r="K10" s="9" t="b">
        <v>0</v>
      </c>
      <c r="L10" s="5">
        <f>COUNTIF(E10:H10,TRUE)/4</f>
        <v>0.75</v>
      </c>
      <c r="M10" s="5">
        <f>COUNTIF(I10:J10,TRUE)/2</f>
        <v>0</v>
      </c>
      <c r="N10" s="5">
        <f>COUNTIF(K10,TRUE)/1</f>
        <v>0</v>
      </c>
      <c r="O10" s="11"/>
    </row>
    <row r="11" spans="1:15" ht="26.45" customHeight="1" x14ac:dyDescent="0.2">
      <c r="A11" s="3" t="s">
        <v>84</v>
      </c>
      <c r="B11" s="4" t="s">
        <v>264</v>
      </c>
      <c r="C11" s="6">
        <v>1</v>
      </c>
      <c r="D11" s="4" t="str">
        <f>IFERROR(_xlfn.XLOOKUP($A11,'DIRECTORIO Y PENDIENTES'!$A$4:$A$17,'DIRECTORIO Y PENDIENTES'!$B$4:$B$17,""),"")</f>
        <v>Luis Gerardo Rodríguez</v>
      </c>
      <c r="E11" s="7" t="b">
        <v>1</v>
      </c>
      <c r="F11" s="7" t="b">
        <v>1</v>
      </c>
      <c r="G11" s="7" t="b">
        <v>0</v>
      </c>
      <c r="H11" s="7" t="b">
        <v>0</v>
      </c>
      <c r="I11" s="8" t="b">
        <v>0</v>
      </c>
      <c r="J11" s="8" t="b">
        <v>0</v>
      </c>
      <c r="K11" s="9" t="b">
        <v>0</v>
      </c>
      <c r="L11" s="5">
        <f>COUNTIF(E11:H11,TRUE)/4</f>
        <v>0.5</v>
      </c>
      <c r="M11" s="5">
        <f>COUNTIF(I11:J11,TRUE)/2</f>
        <v>0</v>
      </c>
      <c r="N11" s="5">
        <f>COUNTIF(K11,TRUE)/1</f>
        <v>0</v>
      </c>
      <c r="O11" s="11"/>
    </row>
    <row r="12" spans="1:15" ht="26.45" customHeight="1" x14ac:dyDescent="0.2">
      <c r="A12" s="3" t="s">
        <v>97</v>
      </c>
      <c r="B12" s="4" t="s">
        <v>109</v>
      </c>
      <c r="C12" s="6"/>
      <c r="D12" s="4" t="str">
        <f>IFERROR(_xlfn.XLOOKUP($A12,'DIRECTORIO Y PENDIENTES'!$A$4:$A$17,'DIRECTORIO Y PENDIENTES'!$B$4:$B$17,""),"")</f>
        <v>Jully Rodriguez</v>
      </c>
      <c r="E12" s="7" t="b">
        <v>0</v>
      </c>
      <c r="F12" s="7" t="b">
        <v>0</v>
      </c>
      <c r="G12" s="7" t="b">
        <v>0</v>
      </c>
      <c r="H12" s="7" t="b">
        <v>0</v>
      </c>
      <c r="I12" s="8" t="b">
        <v>0</v>
      </c>
      <c r="J12" s="8" t="b">
        <v>0</v>
      </c>
      <c r="K12" s="9" t="b">
        <v>0</v>
      </c>
      <c r="L12" s="5">
        <f>COUNTIF(E12:H12,TRUE)/4</f>
        <v>0</v>
      </c>
      <c r="M12" s="5">
        <f>COUNTIF(I12:J12,TRUE)/2</f>
        <v>0</v>
      </c>
      <c r="N12" s="5">
        <f>COUNTIF(K12,TRUE)/1</f>
        <v>0</v>
      </c>
      <c r="O12" s="11"/>
    </row>
    <row r="13" spans="1:15" ht="26.45" customHeight="1" x14ac:dyDescent="0.2">
      <c r="A13" s="3" t="s">
        <v>97</v>
      </c>
      <c r="B13" s="4" t="s">
        <v>110</v>
      </c>
      <c r="C13" s="6"/>
      <c r="D13" s="4" t="str">
        <f>IFERROR(_xlfn.XLOOKUP($A13,'DIRECTORIO Y PENDIENTES'!$A$4:$A$17,'DIRECTORIO Y PENDIENTES'!$B$4:$B$17,""),"")</f>
        <v>Jully Rodriguez</v>
      </c>
      <c r="E13" s="7" t="b">
        <v>0</v>
      </c>
      <c r="F13" s="7" t="b">
        <v>0</v>
      </c>
      <c r="G13" s="7" t="b">
        <v>0</v>
      </c>
      <c r="H13" s="7" t="b">
        <v>0</v>
      </c>
      <c r="I13" s="8" t="b">
        <v>0</v>
      </c>
      <c r="J13" s="8" t="b">
        <v>0</v>
      </c>
      <c r="K13" s="9" t="b">
        <v>0</v>
      </c>
      <c r="L13" s="5">
        <f>COUNTIF(E13:H13,TRUE)/4</f>
        <v>0</v>
      </c>
      <c r="M13" s="5">
        <f>COUNTIF(I13:J13,TRUE)/2</f>
        <v>0</v>
      </c>
      <c r="N13" s="5">
        <f>COUNTIF(K13,TRUE)/1</f>
        <v>0</v>
      </c>
      <c r="O13" s="11"/>
    </row>
    <row r="14" spans="1:15" ht="26.45" customHeight="1" x14ac:dyDescent="0.2">
      <c r="A14" s="3" t="s">
        <v>97</v>
      </c>
      <c r="B14" s="4" t="s">
        <v>111</v>
      </c>
      <c r="C14" s="6"/>
      <c r="D14" s="4" t="str">
        <f>IFERROR(_xlfn.XLOOKUP($A14,'DIRECTORIO Y PENDIENTES'!$A$4:$A$17,'DIRECTORIO Y PENDIENTES'!$B$4:$B$17,""),"")</f>
        <v>Jully Rodriguez</v>
      </c>
      <c r="E14" s="7" t="b">
        <v>0</v>
      </c>
      <c r="F14" s="7" t="b">
        <v>0</v>
      </c>
      <c r="G14" s="7" t="b">
        <v>0</v>
      </c>
      <c r="H14" s="7" t="b">
        <v>0</v>
      </c>
      <c r="I14" s="8" t="b">
        <v>0</v>
      </c>
      <c r="J14" s="8" t="b">
        <v>0</v>
      </c>
      <c r="K14" s="9" t="b">
        <v>0</v>
      </c>
      <c r="L14" s="5">
        <f>COUNTIF(E14:H14,TRUE)/4</f>
        <v>0</v>
      </c>
      <c r="M14" s="5">
        <f>COUNTIF(I14:J14,TRUE)/2</f>
        <v>0</v>
      </c>
      <c r="N14" s="5">
        <f>COUNTIF(K14,TRUE)/1</f>
        <v>0</v>
      </c>
      <c r="O14" s="11"/>
    </row>
    <row r="15" spans="1:15" ht="26.45" customHeight="1" x14ac:dyDescent="0.2">
      <c r="A15" s="3" t="s">
        <v>97</v>
      </c>
      <c r="B15" s="4" t="s">
        <v>112</v>
      </c>
      <c r="C15" s="6"/>
      <c r="D15" s="4" t="str">
        <f>IFERROR(_xlfn.XLOOKUP($A15,'DIRECTORIO Y PENDIENTES'!$A$4:$A$17,'DIRECTORIO Y PENDIENTES'!$B$4:$B$17,""),"")</f>
        <v>Jully Rodriguez</v>
      </c>
      <c r="E15" s="7" t="b">
        <v>0</v>
      </c>
      <c r="F15" s="7" t="b">
        <v>0</v>
      </c>
      <c r="G15" s="7" t="b">
        <v>0</v>
      </c>
      <c r="H15" s="7" t="b">
        <v>0</v>
      </c>
      <c r="I15" s="8" t="b">
        <v>0</v>
      </c>
      <c r="J15" s="8" t="b">
        <v>0</v>
      </c>
      <c r="K15" s="9" t="b">
        <v>0</v>
      </c>
      <c r="L15" s="5">
        <f>COUNTIF(E15:H15,TRUE)/4</f>
        <v>0</v>
      </c>
      <c r="M15" s="5">
        <f>COUNTIF(I15:J15,TRUE)/2</f>
        <v>0</v>
      </c>
      <c r="N15" s="5">
        <f>COUNTIF(K15,TRUE)/1</f>
        <v>0</v>
      </c>
      <c r="O15" s="11"/>
    </row>
    <row r="16" spans="1:15" ht="26.45" customHeight="1" x14ac:dyDescent="0.2">
      <c r="A16" s="3" t="s">
        <v>97</v>
      </c>
      <c r="B16" s="4" t="s">
        <v>113</v>
      </c>
      <c r="C16" s="6"/>
      <c r="D16" s="4" t="str">
        <f>IFERROR(_xlfn.XLOOKUP($A16,'DIRECTORIO Y PENDIENTES'!$A$4:$A$17,'DIRECTORIO Y PENDIENTES'!$B$4:$B$17,""),"")</f>
        <v>Jully Rodriguez</v>
      </c>
      <c r="E16" s="7" t="b">
        <v>0</v>
      </c>
      <c r="F16" s="7" t="b">
        <v>0</v>
      </c>
      <c r="G16" s="7" t="b">
        <v>0</v>
      </c>
      <c r="H16" s="7" t="b">
        <v>0</v>
      </c>
      <c r="I16" s="8" t="b">
        <v>0</v>
      </c>
      <c r="J16" s="8" t="b">
        <v>0</v>
      </c>
      <c r="K16" s="9" t="b">
        <v>0</v>
      </c>
      <c r="L16" s="5">
        <f>COUNTIF(E16:H16,TRUE)/4</f>
        <v>0</v>
      </c>
      <c r="M16" s="5">
        <f>COUNTIF(I16:J16,TRUE)/2</f>
        <v>0</v>
      </c>
      <c r="N16" s="5">
        <f>COUNTIF(K16,TRUE)/1</f>
        <v>0</v>
      </c>
      <c r="O16" s="11"/>
    </row>
    <row r="17" spans="1:15" ht="26.45" customHeight="1" x14ac:dyDescent="0.2">
      <c r="A17" s="3" t="s">
        <v>97</v>
      </c>
      <c r="B17" s="4" t="s">
        <v>265</v>
      </c>
      <c r="C17" s="6"/>
      <c r="D17" s="4" t="str">
        <f>IFERROR(_xlfn.XLOOKUP($A17,'DIRECTORIO Y PENDIENTES'!$A$4:$A$17,'DIRECTORIO Y PENDIENTES'!$B$4:$B$17,""),"")</f>
        <v>Jully Rodriguez</v>
      </c>
      <c r="E17" s="7" t="b">
        <v>0</v>
      </c>
      <c r="F17" s="7" t="b">
        <v>0</v>
      </c>
      <c r="G17" s="7" t="b">
        <v>0</v>
      </c>
      <c r="H17" s="7" t="b">
        <v>0</v>
      </c>
      <c r="I17" s="8" t="b">
        <v>0</v>
      </c>
      <c r="J17" s="8" t="b">
        <v>0</v>
      </c>
      <c r="K17" s="9" t="b">
        <v>0</v>
      </c>
      <c r="L17" s="5">
        <f>COUNTIF(E17:H17,TRUE)/4</f>
        <v>0</v>
      </c>
      <c r="M17" s="5">
        <f>COUNTIF(I17:J17,TRUE)/2</f>
        <v>0</v>
      </c>
      <c r="N17" s="5">
        <f>COUNTIF(K17,TRUE)/1</f>
        <v>0</v>
      </c>
      <c r="O17" s="11"/>
    </row>
    <row r="18" spans="1:15" ht="26.45" customHeight="1" x14ac:dyDescent="0.2">
      <c r="A18" s="3" t="s">
        <v>97</v>
      </c>
      <c r="B18" s="4" t="s">
        <v>98</v>
      </c>
      <c r="C18" s="6"/>
      <c r="D18" s="4" t="str">
        <f>IFERROR(_xlfn.XLOOKUP($A18,'DIRECTORIO Y PENDIENTES'!$A$4:$A$17,'DIRECTORIO Y PENDIENTES'!$B$4:$B$17,""),"")</f>
        <v>Jully Rodriguez</v>
      </c>
      <c r="E18" s="7" t="b">
        <v>0</v>
      </c>
      <c r="F18" s="7" t="b">
        <v>0</v>
      </c>
      <c r="G18" s="7" t="b">
        <v>0</v>
      </c>
      <c r="H18" s="7" t="b">
        <v>0</v>
      </c>
      <c r="I18" s="8" t="b">
        <v>0</v>
      </c>
      <c r="J18" s="8" t="b">
        <v>0</v>
      </c>
      <c r="K18" s="9" t="b">
        <v>0</v>
      </c>
      <c r="L18" s="5">
        <f>COUNTIF(E18:H18,TRUE)/4</f>
        <v>0</v>
      </c>
      <c r="M18" s="5">
        <f>COUNTIF(I18:J18,TRUE)/2</f>
        <v>0</v>
      </c>
      <c r="N18" s="5">
        <f>COUNTIF(K18,TRUE)/1</f>
        <v>0</v>
      </c>
      <c r="O18" s="11"/>
    </row>
    <row r="19" spans="1:15" ht="26.45" customHeight="1" x14ac:dyDescent="0.2">
      <c r="A19" s="3" t="s">
        <v>97</v>
      </c>
      <c r="B19" s="4" t="s">
        <v>99</v>
      </c>
      <c r="C19" s="6"/>
      <c r="D19" s="4" t="str">
        <f>IFERROR(_xlfn.XLOOKUP($A19,'DIRECTORIO Y PENDIENTES'!$A$4:$A$17,'DIRECTORIO Y PENDIENTES'!$B$4:$B$17,""),"")</f>
        <v>Jully Rodriguez</v>
      </c>
      <c r="E19" s="7" t="b">
        <v>0</v>
      </c>
      <c r="F19" s="7" t="b">
        <v>0</v>
      </c>
      <c r="G19" s="7" t="b">
        <v>0</v>
      </c>
      <c r="H19" s="7" t="b">
        <v>0</v>
      </c>
      <c r="I19" s="8" t="b">
        <v>0</v>
      </c>
      <c r="J19" s="8" t="b">
        <v>0</v>
      </c>
      <c r="K19" s="9" t="b">
        <v>0</v>
      </c>
      <c r="L19" s="5">
        <f>COUNTIF(E19:H19,TRUE)/4</f>
        <v>0</v>
      </c>
      <c r="M19" s="5">
        <f>COUNTIF(I19:J19,TRUE)/2</f>
        <v>0</v>
      </c>
      <c r="N19" s="5">
        <f>COUNTIF(K19,TRUE)/1</f>
        <v>0</v>
      </c>
      <c r="O19" s="11"/>
    </row>
    <row r="20" spans="1:15" ht="26.45" customHeight="1" x14ac:dyDescent="0.2">
      <c r="A20" s="3" t="s">
        <v>97</v>
      </c>
      <c r="B20" s="4" t="s">
        <v>100</v>
      </c>
      <c r="C20" s="6"/>
      <c r="D20" s="4" t="str">
        <f>IFERROR(_xlfn.XLOOKUP($A20,'DIRECTORIO Y PENDIENTES'!$A$4:$A$17,'DIRECTORIO Y PENDIENTES'!$B$4:$B$17,""),"")</f>
        <v>Jully Rodriguez</v>
      </c>
      <c r="E20" s="7" t="b">
        <v>0</v>
      </c>
      <c r="F20" s="7" t="b">
        <v>0</v>
      </c>
      <c r="G20" s="7" t="b">
        <v>0</v>
      </c>
      <c r="H20" s="7" t="b">
        <v>0</v>
      </c>
      <c r="I20" s="8" t="b">
        <v>0</v>
      </c>
      <c r="J20" s="8" t="b">
        <v>0</v>
      </c>
      <c r="K20" s="9" t="b">
        <v>0</v>
      </c>
      <c r="L20" s="5">
        <f>COUNTIF(E20:H20,TRUE)/4</f>
        <v>0</v>
      </c>
      <c r="M20" s="5">
        <f>COUNTIF(I20:J20,TRUE)/2</f>
        <v>0</v>
      </c>
      <c r="N20" s="5">
        <f>COUNTIF(K20,TRUE)/1</f>
        <v>0</v>
      </c>
      <c r="O20" s="11"/>
    </row>
    <row r="21" spans="1:15" ht="26.45" customHeight="1" x14ac:dyDescent="0.2">
      <c r="A21" s="3" t="s">
        <v>97</v>
      </c>
      <c r="B21" s="4" t="s">
        <v>101</v>
      </c>
      <c r="C21" s="6"/>
      <c r="D21" s="4" t="str">
        <f>IFERROR(_xlfn.XLOOKUP($A21,'DIRECTORIO Y PENDIENTES'!$A$4:$A$17,'DIRECTORIO Y PENDIENTES'!$B$4:$B$17,""),"")</f>
        <v>Jully Rodriguez</v>
      </c>
      <c r="E21" s="7" t="b">
        <v>0</v>
      </c>
      <c r="F21" s="7" t="b">
        <v>0</v>
      </c>
      <c r="G21" s="7" t="b">
        <v>0</v>
      </c>
      <c r="H21" s="7" t="b">
        <v>0</v>
      </c>
      <c r="I21" s="8" t="b">
        <v>0</v>
      </c>
      <c r="J21" s="8" t="b">
        <v>0</v>
      </c>
      <c r="K21" s="9" t="b">
        <v>0</v>
      </c>
      <c r="L21" s="5">
        <f>COUNTIF(E21:H21,TRUE)/4</f>
        <v>0</v>
      </c>
      <c r="M21" s="5">
        <f>COUNTIF(I21:J21,TRUE)/2</f>
        <v>0</v>
      </c>
      <c r="N21" s="5">
        <f>COUNTIF(K21,TRUE)/1</f>
        <v>0</v>
      </c>
      <c r="O21" s="11"/>
    </row>
    <row r="22" spans="1:15" ht="26.45" customHeight="1" x14ac:dyDescent="0.2">
      <c r="A22" s="3" t="s">
        <v>97</v>
      </c>
      <c r="B22" s="4" t="s">
        <v>102</v>
      </c>
      <c r="C22" s="6"/>
      <c r="D22" s="4" t="str">
        <f>IFERROR(_xlfn.XLOOKUP($A22,'DIRECTORIO Y PENDIENTES'!$A$4:$A$17,'DIRECTORIO Y PENDIENTES'!$B$4:$B$17,""),"")</f>
        <v>Jully Rodriguez</v>
      </c>
      <c r="E22" s="7" t="b">
        <v>0</v>
      </c>
      <c r="F22" s="7" t="b">
        <v>0</v>
      </c>
      <c r="G22" s="7" t="b">
        <v>0</v>
      </c>
      <c r="H22" s="7" t="b">
        <v>0</v>
      </c>
      <c r="I22" s="8" t="b">
        <v>0</v>
      </c>
      <c r="J22" s="8" t="b">
        <v>0</v>
      </c>
      <c r="K22" s="9" t="b">
        <v>0</v>
      </c>
      <c r="L22" s="5">
        <f>COUNTIF(E22:H22,TRUE)/4</f>
        <v>0</v>
      </c>
      <c r="M22" s="5">
        <f>COUNTIF(I22:J22,TRUE)/2</f>
        <v>0</v>
      </c>
      <c r="N22" s="5">
        <f>COUNTIF(K22,TRUE)/1</f>
        <v>0</v>
      </c>
      <c r="O22" s="11"/>
    </row>
    <row r="23" spans="1:15" ht="26.45" customHeight="1" x14ac:dyDescent="0.2">
      <c r="A23" s="3" t="s">
        <v>97</v>
      </c>
      <c r="B23" s="4" t="s">
        <v>103</v>
      </c>
      <c r="C23" s="6"/>
      <c r="D23" s="4" t="str">
        <f>IFERROR(_xlfn.XLOOKUP($A23,'DIRECTORIO Y PENDIENTES'!$A$4:$A$17,'DIRECTORIO Y PENDIENTES'!$B$4:$B$17,""),"")</f>
        <v>Jully Rodriguez</v>
      </c>
      <c r="E23" s="7" t="b">
        <v>0</v>
      </c>
      <c r="F23" s="7" t="b">
        <v>0</v>
      </c>
      <c r="G23" s="7" t="b">
        <v>0</v>
      </c>
      <c r="H23" s="7" t="b">
        <v>0</v>
      </c>
      <c r="I23" s="8" t="b">
        <v>0</v>
      </c>
      <c r="J23" s="8" t="b">
        <v>0</v>
      </c>
      <c r="K23" s="9" t="b">
        <v>0</v>
      </c>
      <c r="L23" s="5">
        <f>COUNTIF(E23:H23,TRUE)/4</f>
        <v>0</v>
      </c>
      <c r="M23" s="5">
        <f>COUNTIF(I23:J23,TRUE)/2</f>
        <v>0</v>
      </c>
      <c r="N23" s="5">
        <f>COUNTIF(K23,TRUE)/1</f>
        <v>0</v>
      </c>
      <c r="O23" s="11"/>
    </row>
    <row r="24" spans="1:15" ht="26.45" customHeight="1" x14ac:dyDescent="0.2">
      <c r="A24" s="3" t="s">
        <v>97</v>
      </c>
      <c r="B24" s="4" t="s">
        <v>104</v>
      </c>
      <c r="C24" s="6"/>
      <c r="D24" s="4" t="str">
        <f>IFERROR(_xlfn.XLOOKUP($A24,'DIRECTORIO Y PENDIENTES'!$A$4:$A$17,'DIRECTORIO Y PENDIENTES'!$B$4:$B$17,""),"")</f>
        <v>Jully Rodriguez</v>
      </c>
      <c r="E24" s="7" t="b">
        <v>0</v>
      </c>
      <c r="F24" s="7" t="b">
        <v>0</v>
      </c>
      <c r="G24" s="7" t="b">
        <v>0</v>
      </c>
      <c r="H24" s="7" t="b">
        <v>0</v>
      </c>
      <c r="I24" s="8" t="b">
        <v>0</v>
      </c>
      <c r="J24" s="8" t="b">
        <v>0</v>
      </c>
      <c r="K24" s="9" t="b">
        <v>0</v>
      </c>
      <c r="L24" s="5">
        <f>COUNTIF(E24:H24,TRUE)/4</f>
        <v>0</v>
      </c>
      <c r="M24" s="5">
        <f>COUNTIF(I24:J24,TRUE)/2</f>
        <v>0</v>
      </c>
      <c r="N24" s="5">
        <f>COUNTIF(K24,TRUE)/1</f>
        <v>0</v>
      </c>
      <c r="O24" s="11"/>
    </row>
    <row r="25" spans="1:15" ht="26.45" customHeight="1" x14ac:dyDescent="0.2">
      <c r="A25" s="3" t="s">
        <v>97</v>
      </c>
      <c r="B25" s="4" t="s">
        <v>105</v>
      </c>
      <c r="C25" s="6"/>
      <c r="D25" s="4" t="str">
        <f>IFERROR(_xlfn.XLOOKUP($A25,'DIRECTORIO Y PENDIENTES'!$A$4:$A$17,'DIRECTORIO Y PENDIENTES'!$B$4:$B$17,""),"")</f>
        <v>Jully Rodriguez</v>
      </c>
      <c r="E25" s="7" t="b">
        <v>0</v>
      </c>
      <c r="F25" s="7" t="b">
        <v>0</v>
      </c>
      <c r="G25" s="7" t="b">
        <v>0</v>
      </c>
      <c r="H25" s="7" t="b">
        <v>0</v>
      </c>
      <c r="I25" s="8" t="b">
        <v>0</v>
      </c>
      <c r="J25" s="8" t="b">
        <v>0</v>
      </c>
      <c r="K25" s="9" t="b">
        <v>0</v>
      </c>
      <c r="L25" s="5">
        <f>COUNTIF(E25:H25,TRUE)/4</f>
        <v>0</v>
      </c>
      <c r="M25" s="5">
        <f>COUNTIF(I25:J25,TRUE)/2</f>
        <v>0</v>
      </c>
      <c r="N25" s="5">
        <f>COUNTIF(K25,TRUE)/1</f>
        <v>0</v>
      </c>
      <c r="O25" s="11"/>
    </row>
    <row r="26" spans="1:15" ht="26.45" customHeight="1" x14ac:dyDescent="0.2">
      <c r="A26" s="3" t="s">
        <v>97</v>
      </c>
      <c r="B26" s="4" t="s">
        <v>106</v>
      </c>
      <c r="C26" s="6"/>
      <c r="D26" s="4" t="str">
        <f>IFERROR(_xlfn.XLOOKUP($A26,'DIRECTORIO Y PENDIENTES'!$A$4:$A$17,'DIRECTORIO Y PENDIENTES'!$B$4:$B$17,""),"")</f>
        <v>Jully Rodriguez</v>
      </c>
      <c r="E26" s="7" t="b">
        <v>0</v>
      </c>
      <c r="F26" s="7" t="b">
        <v>0</v>
      </c>
      <c r="G26" s="7" t="b">
        <v>0</v>
      </c>
      <c r="H26" s="7" t="b">
        <v>0</v>
      </c>
      <c r="I26" s="8" t="b">
        <v>0</v>
      </c>
      <c r="J26" s="8" t="b">
        <v>0</v>
      </c>
      <c r="K26" s="9" t="b">
        <v>0</v>
      </c>
      <c r="L26" s="5">
        <f>COUNTIF(E26:H26,TRUE)/4</f>
        <v>0</v>
      </c>
      <c r="M26" s="5">
        <f>COUNTIF(I26:J26,TRUE)/2</f>
        <v>0</v>
      </c>
      <c r="N26" s="5">
        <f>COUNTIF(K26,TRUE)/1</f>
        <v>0</v>
      </c>
      <c r="O26" s="11"/>
    </row>
    <row r="27" spans="1:15" ht="26.45" customHeight="1" x14ac:dyDescent="0.2">
      <c r="A27" s="3" t="s">
        <v>97</v>
      </c>
      <c r="B27" s="4" t="s">
        <v>107</v>
      </c>
      <c r="C27" s="6"/>
      <c r="D27" s="4" t="str">
        <f>IFERROR(_xlfn.XLOOKUP($A27,'DIRECTORIO Y PENDIENTES'!$A$4:$A$17,'DIRECTORIO Y PENDIENTES'!$B$4:$B$17,""),"")</f>
        <v>Jully Rodriguez</v>
      </c>
      <c r="E27" s="7" t="b">
        <v>0</v>
      </c>
      <c r="F27" s="7" t="b">
        <v>0</v>
      </c>
      <c r="G27" s="7" t="b">
        <v>0</v>
      </c>
      <c r="H27" s="7" t="b">
        <v>0</v>
      </c>
      <c r="I27" s="8" t="b">
        <v>0</v>
      </c>
      <c r="J27" s="8" t="b">
        <v>0</v>
      </c>
      <c r="K27" s="9" t="b">
        <v>0</v>
      </c>
      <c r="L27" s="5">
        <f>COUNTIF(E27:H27,TRUE)/4</f>
        <v>0</v>
      </c>
      <c r="M27" s="5">
        <f>COUNTIF(I27:J27,TRUE)/2</f>
        <v>0</v>
      </c>
      <c r="N27" s="5">
        <f>COUNTIF(K27,TRUE)/1</f>
        <v>0</v>
      </c>
      <c r="O27" s="11"/>
    </row>
    <row r="28" spans="1:15" ht="26.45" customHeight="1" x14ac:dyDescent="0.2">
      <c r="A28" s="3" t="s">
        <v>97</v>
      </c>
      <c r="B28" s="4" t="s">
        <v>108</v>
      </c>
      <c r="C28" s="6"/>
      <c r="D28" s="4" t="str">
        <f>IFERROR(_xlfn.XLOOKUP($A28,'DIRECTORIO Y PENDIENTES'!$A$4:$A$17,'DIRECTORIO Y PENDIENTES'!$B$4:$B$17,""),"")</f>
        <v>Jully Rodriguez</v>
      </c>
      <c r="E28" s="7" t="b">
        <v>0</v>
      </c>
      <c r="F28" s="7" t="b">
        <v>0</v>
      </c>
      <c r="G28" s="7" t="b">
        <v>0</v>
      </c>
      <c r="H28" s="7" t="b">
        <v>0</v>
      </c>
      <c r="I28" s="8" t="b">
        <v>0</v>
      </c>
      <c r="J28" s="8" t="b">
        <v>0</v>
      </c>
      <c r="K28" s="9" t="b">
        <v>0</v>
      </c>
      <c r="L28" s="5">
        <f>COUNTIF(E28:H28,TRUE)/4</f>
        <v>0</v>
      </c>
      <c r="M28" s="5">
        <f>COUNTIF(I28:J28,TRUE)/2</f>
        <v>0</v>
      </c>
      <c r="N28" s="5">
        <f>COUNTIF(K28,TRUE)/1</f>
        <v>0</v>
      </c>
      <c r="O28" s="11"/>
    </row>
    <row r="29" spans="1:15" ht="26.45" customHeight="1" x14ac:dyDescent="0.2">
      <c r="A29" s="3" t="s">
        <v>69</v>
      </c>
      <c r="B29" s="4" t="s">
        <v>57</v>
      </c>
      <c r="C29" s="6">
        <v>1</v>
      </c>
      <c r="D29" s="4" t="str">
        <f>IFERROR(_xlfn.XLOOKUP($A29,'DIRECTORIO Y PENDIENTES'!$A$4:$A$17,'DIRECTORIO Y PENDIENTES'!$B$4:$B$17,""),"")</f>
        <v>Luis Gerardo Rodríguez</v>
      </c>
      <c r="E29" s="7" t="b">
        <v>1</v>
      </c>
      <c r="F29" s="7" t="b">
        <v>1</v>
      </c>
      <c r="G29" s="7" t="b">
        <v>0</v>
      </c>
      <c r="H29" s="7" t="b">
        <v>0</v>
      </c>
      <c r="I29" s="8" t="b">
        <v>0</v>
      </c>
      <c r="J29" s="8" t="b">
        <v>0</v>
      </c>
      <c r="K29" s="9" t="b">
        <v>0</v>
      </c>
      <c r="L29" s="5">
        <f>COUNTIF(E29:H29,TRUE)/4</f>
        <v>0.5</v>
      </c>
      <c r="M29" s="5">
        <f>COUNTIF(I29:J29,TRUE)/2</f>
        <v>0</v>
      </c>
      <c r="N29" s="5">
        <f>COUNTIF(K29,TRUE)/1</f>
        <v>0</v>
      </c>
      <c r="O29" s="11"/>
    </row>
    <row r="30" spans="1:15" ht="26.45" customHeight="1" x14ac:dyDescent="0.2">
      <c r="A30" s="3" t="s">
        <v>69</v>
      </c>
      <c r="B30" s="4" t="s">
        <v>70</v>
      </c>
      <c r="C30" s="6">
        <v>6</v>
      </c>
      <c r="D30" s="4" t="str">
        <f>IFERROR(_xlfn.XLOOKUP($A30,'DIRECTORIO Y PENDIENTES'!$A$4:$A$17,'DIRECTORIO Y PENDIENTES'!$B$4:$B$17,""),"")</f>
        <v>Luis Gerardo Rodríguez</v>
      </c>
      <c r="E30" s="7" t="b">
        <v>1</v>
      </c>
      <c r="F30" s="7" t="b">
        <v>1</v>
      </c>
      <c r="G30" s="7" t="b">
        <v>0</v>
      </c>
      <c r="H30" s="7" t="b">
        <v>0</v>
      </c>
      <c r="I30" s="8" t="b">
        <v>0</v>
      </c>
      <c r="J30" s="8" t="b">
        <v>0</v>
      </c>
      <c r="K30" s="9" t="b">
        <v>0</v>
      </c>
      <c r="L30" s="5">
        <f>COUNTIF(E30:H30,TRUE)/4</f>
        <v>0.5</v>
      </c>
      <c r="M30" s="5">
        <f>COUNTIF(I30:J30,TRUE)/2</f>
        <v>0</v>
      </c>
      <c r="N30" s="5">
        <f>COUNTIF(K30,TRUE)/1</f>
        <v>0</v>
      </c>
      <c r="O30" s="11"/>
    </row>
    <row r="31" spans="1:15" ht="26.45" customHeight="1" x14ac:dyDescent="0.2">
      <c r="A31" s="3" t="s">
        <v>69</v>
      </c>
      <c r="B31" s="4" t="s">
        <v>255</v>
      </c>
      <c r="C31" s="6">
        <v>24</v>
      </c>
      <c r="D31" s="4" t="str">
        <f>IFERROR(_xlfn.XLOOKUP($A31,'DIRECTORIO Y PENDIENTES'!$A$4:$A$17,'DIRECTORIO Y PENDIENTES'!$B$4:$B$17,""),"")</f>
        <v>Luis Gerardo Rodríguez</v>
      </c>
      <c r="E31" s="7" t="b">
        <v>1</v>
      </c>
      <c r="F31" s="7" t="b">
        <v>1</v>
      </c>
      <c r="G31" s="7" t="b">
        <v>0</v>
      </c>
      <c r="H31" s="7" t="b">
        <v>0</v>
      </c>
      <c r="I31" s="8" t="b">
        <v>0</v>
      </c>
      <c r="J31" s="8" t="b">
        <v>0</v>
      </c>
      <c r="K31" s="9" t="b">
        <v>0</v>
      </c>
      <c r="L31" s="5">
        <f>COUNTIF(E31:H31,TRUE)/4</f>
        <v>0.5</v>
      </c>
      <c r="M31" s="5">
        <f>COUNTIF(I31:J31,TRUE)/2</f>
        <v>0</v>
      </c>
      <c r="N31" s="5">
        <f>COUNTIF(K31,TRUE)/1</f>
        <v>0</v>
      </c>
      <c r="O31" s="11" t="s">
        <v>259</v>
      </c>
    </row>
    <row r="32" spans="1:15" ht="26.45" customHeight="1" x14ac:dyDescent="0.2">
      <c r="A32" s="3" t="s">
        <v>69</v>
      </c>
      <c r="B32" s="4" t="s">
        <v>256</v>
      </c>
      <c r="C32" s="6">
        <v>8</v>
      </c>
      <c r="D32" s="4" t="str">
        <f>IFERROR(_xlfn.XLOOKUP($A32,'DIRECTORIO Y PENDIENTES'!$A$4:$A$17,'DIRECTORIO Y PENDIENTES'!$B$4:$B$17,""),"")</f>
        <v>Luis Gerardo Rodríguez</v>
      </c>
      <c r="E32" s="7" t="b">
        <v>1</v>
      </c>
      <c r="F32" s="7" t="b">
        <v>1</v>
      </c>
      <c r="G32" s="7" t="b">
        <v>0</v>
      </c>
      <c r="H32" s="7" t="b">
        <v>0</v>
      </c>
      <c r="I32" s="8" t="b">
        <v>0</v>
      </c>
      <c r="J32" s="8" t="b">
        <v>0</v>
      </c>
      <c r="K32" s="9" t="b">
        <v>0</v>
      </c>
      <c r="L32" s="5">
        <f>COUNTIF(E32:H32,TRUE)/4</f>
        <v>0.5</v>
      </c>
      <c r="M32" s="5">
        <f>COUNTIF(I32:J32,TRUE)/2</f>
        <v>0</v>
      </c>
      <c r="N32" s="5">
        <f>COUNTIF(K32,TRUE)/1</f>
        <v>0</v>
      </c>
      <c r="O32" s="11" t="s">
        <v>260</v>
      </c>
    </row>
    <row r="33" spans="1:15" ht="26.45" customHeight="1" x14ac:dyDescent="0.2">
      <c r="A33" s="3" t="s">
        <v>69</v>
      </c>
      <c r="B33" s="4" t="s">
        <v>242</v>
      </c>
      <c r="C33" s="6">
        <v>2</v>
      </c>
      <c r="D33" s="4" t="str">
        <f>IFERROR(_xlfn.XLOOKUP($A33,'DIRECTORIO Y PENDIENTES'!$A$4:$A$17,'DIRECTORIO Y PENDIENTES'!$B$4:$B$17,""),"")</f>
        <v>Luis Gerardo Rodríguez</v>
      </c>
      <c r="E33" s="7" t="b">
        <v>1</v>
      </c>
      <c r="F33" s="7" t="b">
        <v>1</v>
      </c>
      <c r="G33" s="7" t="b">
        <v>0</v>
      </c>
      <c r="H33" s="7" t="b">
        <v>0</v>
      </c>
      <c r="I33" s="8" t="b">
        <v>0</v>
      </c>
      <c r="J33" s="8" t="b">
        <v>0</v>
      </c>
      <c r="K33" s="9" t="b">
        <v>0</v>
      </c>
      <c r="L33" s="5">
        <f>COUNTIF(E33:H33,TRUE)/4</f>
        <v>0.5</v>
      </c>
      <c r="M33" s="5">
        <f>COUNTIF(I33:J33,TRUE)/2</f>
        <v>0</v>
      </c>
      <c r="N33" s="5">
        <f>COUNTIF(K33,TRUE)/1</f>
        <v>0</v>
      </c>
      <c r="O33" s="11"/>
    </row>
    <row r="34" spans="1:15" ht="26.45" customHeight="1" x14ac:dyDescent="0.2">
      <c r="A34" s="3" t="s">
        <v>69</v>
      </c>
      <c r="B34" s="4" t="s">
        <v>258</v>
      </c>
      <c r="C34" s="6">
        <v>1</v>
      </c>
      <c r="D34" s="4" t="str">
        <f>IFERROR(_xlfn.XLOOKUP($A34,'DIRECTORIO Y PENDIENTES'!$A$4:$A$17,'DIRECTORIO Y PENDIENTES'!$B$4:$B$17,""),"")</f>
        <v>Luis Gerardo Rodríguez</v>
      </c>
      <c r="E34" s="7" t="b">
        <v>1</v>
      </c>
      <c r="F34" s="7" t="b">
        <v>0</v>
      </c>
      <c r="G34" s="7" t="b">
        <v>0</v>
      </c>
      <c r="H34" s="7" t="b">
        <v>0</v>
      </c>
      <c r="I34" s="8" t="b">
        <v>0</v>
      </c>
      <c r="J34" s="8" t="b">
        <v>0</v>
      </c>
      <c r="K34" s="9" t="b">
        <v>0</v>
      </c>
      <c r="L34" s="5">
        <f>COUNTIF(E34:H34,TRUE)/4</f>
        <v>0.25</v>
      </c>
      <c r="M34" s="5">
        <f>COUNTIF(I34:J34,TRUE)/2</f>
        <v>0</v>
      </c>
      <c r="N34" s="5">
        <f>COUNTIF(K34,TRUE)/1</f>
        <v>0</v>
      </c>
      <c r="O34" s="11"/>
    </row>
    <row r="35" spans="1:15" ht="26.45" customHeight="1" x14ac:dyDescent="0.2">
      <c r="A35" s="3" t="s">
        <v>137</v>
      </c>
      <c r="B35" s="4" t="s">
        <v>138</v>
      </c>
      <c r="C35" s="6"/>
      <c r="D35" s="4" t="str">
        <f>IFERROR(_xlfn.XLOOKUP($A35,'DIRECTORIO Y PENDIENTES'!$A$4:$A$17,'DIRECTORIO Y PENDIENTES'!$B$4:$B$17,""),"")</f>
        <v>Gerardo Rodríguez Miranda</v>
      </c>
      <c r="E35" s="7" t="b">
        <v>0</v>
      </c>
      <c r="F35" s="7" t="b">
        <v>0</v>
      </c>
      <c r="G35" s="7" t="b">
        <v>0</v>
      </c>
      <c r="H35" s="7" t="b">
        <v>0</v>
      </c>
      <c r="I35" s="8" t="b">
        <v>0</v>
      </c>
      <c r="J35" s="8" t="b">
        <v>0</v>
      </c>
      <c r="K35" s="9" t="b">
        <v>0</v>
      </c>
      <c r="L35" s="5">
        <f>COUNTIF(E35:H35,TRUE)/4</f>
        <v>0</v>
      </c>
      <c r="M35" s="5">
        <f>COUNTIF(I35:J35,TRUE)/2</f>
        <v>0</v>
      </c>
      <c r="N35" s="5">
        <f>COUNTIF(K35,TRUE)/1</f>
        <v>0</v>
      </c>
      <c r="O35" s="11"/>
    </row>
    <row r="36" spans="1:15" ht="26.45" customHeight="1" x14ac:dyDescent="0.2">
      <c r="A36" s="3" t="s">
        <v>137</v>
      </c>
      <c r="B36" s="4" t="s">
        <v>139</v>
      </c>
      <c r="C36" s="6"/>
      <c r="D36" s="4" t="str">
        <f>IFERROR(_xlfn.XLOOKUP($A36,'DIRECTORIO Y PENDIENTES'!$A$4:$A$17,'DIRECTORIO Y PENDIENTES'!$B$4:$B$17,""),"")</f>
        <v>Gerardo Rodríguez Miranda</v>
      </c>
      <c r="E36" s="7" t="b">
        <v>0</v>
      </c>
      <c r="F36" s="7" t="b">
        <v>0</v>
      </c>
      <c r="G36" s="7" t="b">
        <v>0</v>
      </c>
      <c r="H36" s="7" t="b">
        <v>0</v>
      </c>
      <c r="I36" s="8" t="b">
        <v>0</v>
      </c>
      <c r="J36" s="8" t="b">
        <v>0</v>
      </c>
      <c r="K36" s="9" t="b">
        <v>0</v>
      </c>
      <c r="L36" s="5">
        <f>COUNTIF(E36:H36,TRUE)/4</f>
        <v>0</v>
      </c>
      <c r="M36" s="5">
        <f>COUNTIF(I36:J36,TRUE)/2</f>
        <v>0</v>
      </c>
      <c r="N36" s="5">
        <f>COUNTIF(K36,TRUE)/1</f>
        <v>0</v>
      </c>
      <c r="O36" s="11"/>
    </row>
    <row r="37" spans="1:15" ht="26.45" customHeight="1" x14ac:dyDescent="0.2">
      <c r="A37" s="3" t="s">
        <v>137</v>
      </c>
      <c r="B37" s="4" t="s">
        <v>140</v>
      </c>
      <c r="C37" s="6"/>
      <c r="D37" s="4" t="str">
        <f>IFERROR(_xlfn.XLOOKUP($A37,'DIRECTORIO Y PENDIENTES'!$A$4:$A$17,'DIRECTORIO Y PENDIENTES'!$B$4:$B$17,""),"")</f>
        <v>Gerardo Rodríguez Miranda</v>
      </c>
      <c r="E37" s="7" t="b">
        <v>0</v>
      </c>
      <c r="F37" s="7" t="b">
        <v>0</v>
      </c>
      <c r="G37" s="7" t="b">
        <v>0</v>
      </c>
      <c r="H37" s="7" t="b">
        <v>0</v>
      </c>
      <c r="I37" s="8" t="b">
        <v>0</v>
      </c>
      <c r="J37" s="8" t="b">
        <v>0</v>
      </c>
      <c r="K37" s="9" t="b">
        <v>0</v>
      </c>
      <c r="L37" s="5">
        <f>COUNTIF(E37:H37,TRUE)/4</f>
        <v>0</v>
      </c>
      <c r="M37" s="5">
        <f>COUNTIF(I37:J37,TRUE)/2</f>
        <v>0</v>
      </c>
      <c r="N37" s="5">
        <f>COUNTIF(K37,TRUE)/1</f>
        <v>0</v>
      </c>
      <c r="O37" s="11"/>
    </row>
    <row r="38" spans="1:15" ht="26.45" customHeight="1" x14ac:dyDescent="0.2">
      <c r="A38" s="3" t="s">
        <v>141</v>
      </c>
      <c r="B38" s="4" t="s">
        <v>142</v>
      </c>
      <c r="C38" s="6"/>
      <c r="D38" s="4" t="str">
        <f>IFERROR(_xlfn.XLOOKUP($A38,'DIRECTORIO Y PENDIENTES'!$A$4:$A$17,'DIRECTORIO Y PENDIENTES'!$B$4:$B$17,""),"")</f>
        <v>Yatziri Rodriguez</v>
      </c>
      <c r="E38" s="7" t="b">
        <v>0</v>
      </c>
      <c r="F38" s="7" t="b">
        <v>0</v>
      </c>
      <c r="G38" s="7" t="b">
        <v>0</v>
      </c>
      <c r="H38" s="7" t="b">
        <v>0</v>
      </c>
      <c r="I38" s="8" t="b">
        <v>0</v>
      </c>
      <c r="J38" s="8" t="b">
        <v>0</v>
      </c>
      <c r="K38" s="9" t="b">
        <v>0</v>
      </c>
      <c r="L38" s="5">
        <f>COUNTIF(E38:H38,TRUE)/4</f>
        <v>0</v>
      </c>
      <c r="M38" s="5">
        <f>COUNTIF(I38:J38,TRUE)/2</f>
        <v>0</v>
      </c>
      <c r="N38" s="5">
        <f>COUNTIF(K38,TRUE)/1</f>
        <v>0</v>
      </c>
      <c r="O38" s="11"/>
    </row>
    <row r="39" spans="1:15" ht="26.45" customHeight="1" x14ac:dyDescent="0.2">
      <c r="A39" s="3" t="s">
        <v>141</v>
      </c>
      <c r="B39" s="4" t="s">
        <v>143</v>
      </c>
      <c r="C39" s="6"/>
      <c r="D39" s="4" t="str">
        <f>IFERROR(_xlfn.XLOOKUP($A39,'DIRECTORIO Y PENDIENTES'!$A$4:$A$17,'DIRECTORIO Y PENDIENTES'!$B$4:$B$17,""),"")</f>
        <v>Yatziri Rodriguez</v>
      </c>
      <c r="E39" s="7" t="b">
        <v>0</v>
      </c>
      <c r="F39" s="7" t="b">
        <v>0</v>
      </c>
      <c r="G39" s="7" t="b">
        <v>0</v>
      </c>
      <c r="H39" s="7" t="b">
        <v>0</v>
      </c>
      <c r="I39" s="8" t="b">
        <v>0</v>
      </c>
      <c r="J39" s="8" t="b">
        <v>0</v>
      </c>
      <c r="K39" s="9" t="b">
        <v>0</v>
      </c>
      <c r="L39" s="5">
        <f>COUNTIF(E39:H39,TRUE)/4</f>
        <v>0</v>
      </c>
      <c r="M39" s="5">
        <f>COUNTIF(I39:J39,TRUE)/2</f>
        <v>0</v>
      </c>
      <c r="N39" s="5">
        <f>COUNTIF(K39,TRUE)/1</f>
        <v>0</v>
      </c>
      <c r="O39" s="11"/>
    </row>
    <row r="40" spans="1:15" ht="26.45" customHeight="1" x14ac:dyDescent="0.2">
      <c r="A40" s="3" t="s">
        <v>141</v>
      </c>
      <c r="B40" s="4" t="s">
        <v>144</v>
      </c>
      <c r="C40" s="6"/>
      <c r="D40" s="4" t="str">
        <f>IFERROR(_xlfn.XLOOKUP($A40,'DIRECTORIO Y PENDIENTES'!$A$4:$A$17,'DIRECTORIO Y PENDIENTES'!$B$4:$B$17,""),"")</f>
        <v>Yatziri Rodriguez</v>
      </c>
      <c r="E40" s="7" t="b">
        <v>0</v>
      </c>
      <c r="F40" s="7" t="b">
        <v>0</v>
      </c>
      <c r="G40" s="7" t="b">
        <v>0</v>
      </c>
      <c r="H40" s="7" t="b">
        <v>0</v>
      </c>
      <c r="I40" s="8" t="b">
        <v>0</v>
      </c>
      <c r="J40" s="8" t="b">
        <v>0</v>
      </c>
      <c r="K40" s="9" t="b">
        <v>0</v>
      </c>
      <c r="L40" s="5">
        <f>COUNTIF(E40:H40,TRUE)/4</f>
        <v>0</v>
      </c>
      <c r="M40" s="5">
        <f>COUNTIF(I40:J40,TRUE)/2</f>
        <v>0</v>
      </c>
      <c r="N40" s="5">
        <f>COUNTIF(K40,TRUE)/1</f>
        <v>0</v>
      </c>
      <c r="O40" s="11"/>
    </row>
    <row r="41" spans="1:15" ht="26.45" customHeight="1" x14ac:dyDescent="0.2">
      <c r="A41" s="3" t="s">
        <v>141</v>
      </c>
      <c r="B41" s="4" t="s">
        <v>145</v>
      </c>
      <c r="C41" s="6"/>
      <c r="D41" s="4" t="str">
        <f>IFERROR(_xlfn.XLOOKUP($A41,'DIRECTORIO Y PENDIENTES'!$A$4:$A$17,'DIRECTORIO Y PENDIENTES'!$B$4:$B$17,""),"")</f>
        <v>Yatziri Rodriguez</v>
      </c>
      <c r="E41" s="7" t="b">
        <v>0</v>
      </c>
      <c r="F41" s="7" t="b">
        <v>0</v>
      </c>
      <c r="G41" s="7" t="b">
        <v>0</v>
      </c>
      <c r="H41" s="7" t="b">
        <v>0</v>
      </c>
      <c r="I41" s="8" t="b">
        <v>0</v>
      </c>
      <c r="J41" s="8" t="b">
        <v>0</v>
      </c>
      <c r="K41" s="9" t="b">
        <v>0</v>
      </c>
      <c r="L41" s="5">
        <f>COUNTIF(E41:H41,TRUE)/4</f>
        <v>0</v>
      </c>
      <c r="M41" s="5">
        <f>COUNTIF(I41:J41,TRUE)/2</f>
        <v>0</v>
      </c>
      <c r="N41" s="5">
        <f>COUNTIF(K41,TRUE)/1</f>
        <v>0</v>
      </c>
      <c r="O41" s="11"/>
    </row>
    <row r="42" spans="1:15" ht="26.45" customHeight="1" x14ac:dyDescent="0.2">
      <c r="A42" s="3" t="s">
        <v>58</v>
      </c>
      <c r="B42" s="4" t="s">
        <v>59</v>
      </c>
      <c r="C42" s="6"/>
      <c r="D42" s="4" t="str">
        <f>IFERROR(_xlfn.XLOOKUP($A42,'DIRECTORIO Y PENDIENTES'!$A$4:$A$17,'DIRECTORIO Y PENDIENTES'!$B$4:$B$17,""),"")</f>
        <v>Luis Gerardo Rodríguez</v>
      </c>
      <c r="E42" s="7" t="b">
        <v>0</v>
      </c>
      <c r="F42" s="7" t="b">
        <v>0</v>
      </c>
      <c r="G42" s="7" t="b">
        <v>0</v>
      </c>
      <c r="H42" s="7" t="b">
        <v>0</v>
      </c>
      <c r="I42" s="8" t="b">
        <v>0</v>
      </c>
      <c r="J42" s="8" t="b">
        <v>0</v>
      </c>
      <c r="K42" s="9" t="b">
        <v>0</v>
      </c>
      <c r="L42" s="5">
        <f>COUNTIF(E42:H42,TRUE)/4</f>
        <v>0</v>
      </c>
      <c r="M42" s="5">
        <f>COUNTIF(I42:J42,TRUE)/2</f>
        <v>0</v>
      </c>
      <c r="N42" s="5">
        <f>COUNTIF(K42,TRUE)/1</f>
        <v>0</v>
      </c>
      <c r="O42" s="11"/>
    </row>
    <row r="43" spans="1:15" ht="26.45" customHeight="1" x14ac:dyDescent="0.2">
      <c r="A43" s="3" t="s">
        <v>58</v>
      </c>
      <c r="B43" s="4" t="s">
        <v>60</v>
      </c>
      <c r="C43" s="6"/>
      <c r="D43" s="4" t="str">
        <f>IFERROR(_xlfn.XLOOKUP($A43,'DIRECTORIO Y PENDIENTES'!$A$4:$A$17,'DIRECTORIO Y PENDIENTES'!$B$4:$B$17,""),"")</f>
        <v>Luis Gerardo Rodríguez</v>
      </c>
      <c r="E43" s="7" t="b">
        <v>0</v>
      </c>
      <c r="F43" s="7" t="b">
        <v>0</v>
      </c>
      <c r="G43" s="7" t="b">
        <v>0</v>
      </c>
      <c r="H43" s="7" t="b">
        <v>0</v>
      </c>
      <c r="I43" s="8" t="b">
        <v>0</v>
      </c>
      <c r="J43" s="8" t="b">
        <v>0</v>
      </c>
      <c r="K43" s="9" t="b">
        <v>0</v>
      </c>
      <c r="L43" s="5">
        <f>COUNTIF(E43:H43,TRUE)/4</f>
        <v>0</v>
      </c>
      <c r="M43" s="5">
        <f>COUNTIF(I43:J43,TRUE)/2</f>
        <v>0</v>
      </c>
      <c r="N43" s="5">
        <f>COUNTIF(K43,TRUE)/1</f>
        <v>0</v>
      </c>
      <c r="O43" s="11"/>
    </row>
    <row r="44" spans="1:15" ht="26.45" customHeight="1" x14ac:dyDescent="0.2">
      <c r="A44" s="3" t="s">
        <v>58</v>
      </c>
      <c r="B44" s="4" t="s">
        <v>61</v>
      </c>
      <c r="C44" s="6"/>
      <c r="D44" s="4" t="str">
        <f>IFERROR(_xlfn.XLOOKUP($A44,'DIRECTORIO Y PENDIENTES'!$A$4:$A$17,'DIRECTORIO Y PENDIENTES'!$B$4:$B$17,""),"")</f>
        <v>Luis Gerardo Rodríguez</v>
      </c>
      <c r="E44" s="7" t="b">
        <v>0</v>
      </c>
      <c r="F44" s="7" t="b">
        <v>0</v>
      </c>
      <c r="G44" s="7" t="b">
        <v>0</v>
      </c>
      <c r="H44" s="7" t="b">
        <v>0</v>
      </c>
      <c r="I44" s="8" t="b">
        <v>0</v>
      </c>
      <c r="J44" s="8" t="b">
        <v>0</v>
      </c>
      <c r="K44" s="9" t="b">
        <v>0</v>
      </c>
      <c r="L44" s="5">
        <f>COUNTIF(E44:H44,TRUE)/4</f>
        <v>0</v>
      </c>
      <c r="M44" s="5">
        <f>COUNTIF(I44:J44,TRUE)/2</f>
        <v>0</v>
      </c>
      <c r="N44" s="5">
        <f>COUNTIF(K44,TRUE)/1</f>
        <v>0</v>
      </c>
      <c r="O44" s="11"/>
    </row>
    <row r="45" spans="1:15" ht="26.45" customHeight="1" x14ac:dyDescent="0.2">
      <c r="A45" s="3" t="s">
        <v>58</v>
      </c>
      <c r="B45" s="4" t="s">
        <v>62</v>
      </c>
      <c r="C45" s="6"/>
      <c r="D45" s="4" t="str">
        <f>IFERROR(_xlfn.XLOOKUP($A45,'DIRECTORIO Y PENDIENTES'!$A$4:$A$17,'DIRECTORIO Y PENDIENTES'!$B$4:$B$17,""),"")</f>
        <v>Luis Gerardo Rodríguez</v>
      </c>
      <c r="E45" s="7" t="b">
        <v>0</v>
      </c>
      <c r="F45" s="7" t="b">
        <v>0</v>
      </c>
      <c r="G45" s="7" t="b">
        <v>0</v>
      </c>
      <c r="H45" s="7" t="b">
        <v>0</v>
      </c>
      <c r="I45" s="8" t="b">
        <v>0</v>
      </c>
      <c r="J45" s="8" t="b">
        <v>0</v>
      </c>
      <c r="K45" s="9" t="b">
        <v>0</v>
      </c>
      <c r="L45" s="5">
        <f>COUNTIF(E45:H45,TRUE)/4</f>
        <v>0</v>
      </c>
      <c r="M45" s="5">
        <f>COUNTIF(I45:J45,TRUE)/2</f>
        <v>0</v>
      </c>
      <c r="N45" s="5">
        <f>COUNTIF(K45,TRUE)/1</f>
        <v>0</v>
      </c>
      <c r="O45" s="11"/>
    </row>
    <row r="46" spans="1:15" ht="26.45" customHeight="1" x14ac:dyDescent="0.2">
      <c r="A46" s="3" t="s">
        <v>58</v>
      </c>
      <c r="B46" s="4" t="s">
        <v>63</v>
      </c>
      <c r="C46" s="6"/>
      <c r="D46" s="4" t="str">
        <f>IFERROR(_xlfn.XLOOKUP($A46,'DIRECTORIO Y PENDIENTES'!$A$4:$A$17,'DIRECTORIO Y PENDIENTES'!$B$4:$B$17,""),"")</f>
        <v>Luis Gerardo Rodríguez</v>
      </c>
      <c r="E46" s="7" t="b">
        <v>0</v>
      </c>
      <c r="F46" s="7" t="b">
        <v>0</v>
      </c>
      <c r="G46" s="7" t="b">
        <v>0</v>
      </c>
      <c r="H46" s="7" t="b">
        <v>0</v>
      </c>
      <c r="I46" s="8" t="b">
        <v>0</v>
      </c>
      <c r="J46" s="8" t="b">
        <v>0</v>
      </c>
      <c r="K46" s="9" t="b">
        <v>0</v>
      </c>
      <c r="L46" s="5">
        <f>COUNTIF(E46:H46,TRUE)/4</f>
        <v>0</v>
      </c>
      <c r="M46" s="5">
        <f>COUNTIF(I46:J46,TRUE)/2</f>
        <v>0</v>
      </c>
      <c r="N46" s="5">
        <f>COUNTIF(K46,TRUE)/1</f>
        <v>0</v>
      </c>
      <c r="O46" s="11"/>
    </row>
    <row r="47" spans="1:15" ht="26.45" customHeight="1" x14ac:dyDescent="0.2">
      <c r="A47" s="3" t="s">
        <v>58</v>
      </c>
      <c r="B47" s="4" t="s">
        <v>64</v>
      </c>
      <c r="C47" s="6"/>
      <c r="D47" s="4" t="str">
        <f>IFERROR(_xlfn.XLOOKUP($A47,'DIRECTORIO Y PENDIENTES'!$A$4:$A$17,'DIRECTORIO Y PENDIENTES'!$B$4:$B$17,""),"")</f>
        <v>Luis Gerardo Rodríguez</v>
      </c>
      <c r="E47" s="7" t="b">
        <v>0</v>
      </c>
      <c r="F47" s="7" t="b">
        <v>0</v>
      </c>
      <c r="G47" s="7" t="b">
        <v>0</v>
      </c>
      <c r="H47" s="7" t="b">
        <v>0</v>
      </c>
      <c r="I47" s="8" t="b">
        <v>0</v>
      </c>
      <c r="J47" s="8" t="b">
        <v>0</v>
      </c>
      <c r="K47" s="9" t="b">
        <v>0</v>
      </c>
      <c r="L47" s="5">
        <f>COUNTIF(E47:H47,TRUE)/4</f>
        <v>0</v>
      </c>
      <c r="M47" s="5">
        <f>COUNTIF(I47:J47,TRUE)/2</f>
        <v>0</v>
      </c>
      <c r="N47" s="5">
        <f>COUNTIF(K47,TRUE)/1</f>
        <v>0</v>
      </c>
      <c r="O47" s="11"/>
    </row>
    <row r="48" spans="1:15" ht="26.45" customHeight="1" x14ac:dyDescent="0.2">
      <c r="A48" s="3" t="s">
        <v>58</v>
      </c>
      <c r="B48" s="4" t="s">
        <v>65</v>
      </c>
      <c r="C48" s="6"/>
      <c r="D48" s="4" t="str">
        <f>IFERROR(_xlfn.XLOOKUP($A48,'DIRECTORIO Y PENDIENTES'!$A$4:$A$17,'DIRECTORIO Y PENDIENTES'!$B$4:$B$17,""),"")</f>
        <v>Luis Gerardo Rodríguez</v>
      </c>
      <c r="E48" s="7" t="b">
        <v>0</v>
      </c>
      <c r="F48" s="7" t="b">
        <v>0</v>
      </c>
      <c r="G48" s="7" t="b">
        <v>0</v>
      </c>
      <c r="H48" s="7" t="b">
        <v>0</v>
      </c>
      <c r="I48" s="8" t="b">
        <v>0</v>
      </c>
      <c r="J48" s="8" t="b">
        <v>0</v>
      </c>
      <c r="K48" s="9" t="b">
        <v>0</v>
      </c>
      <c r="L48" s="5">
        <f>COUNTIF(E48:H48,TRUE)/4</f>
        <v>0</v>
      </c>
      <c r="M48" s="5">
        <f>COUNTIF(I48:J48,TRUE)/2</f>
        <v>0</v>
      </c>
      <c r="N48" s="5">
        <f>COUNTIF(K48,TRUE)/1</f>
        <v>0</v>
      </c>
      <c r="O48" s="11"/>
    </row>
    <row r="49" spans="1:15" ht="26.45" customHeight="1" x14ac:dyDescent="0.2">
      <c r="A49" s="3" t="s">
        <v>58</v>
      </c>
      <c r="B49" s="4" t="s">
        <v>66</v>
      </c>
      <c r="C49" s="6"/>
      <c r="D49" s="4" t="str">
        <f>IFERROR(_xlfn.XLOOKUP($A49,'DIRECTORIO Y PENDIENTES'!$A$4:$A$17,'DIRECTORIO Y PENDIENTES'!$B$4:$B$17,""),"")</f>
        <v>Luis Gerardo Rodríguez</v>
      </c>
      <c r="E49" s="7" t="b">
        <v>0</v>
      </c>
      <c r="F49" s="7" t="b">
        <v>0</v>
      </c>
      <c r="G49" s="7" t="b">
        <v>0</v>
      </c>
      <c r="H49" s="7" t="b">
        <v>0</v>
      </c>
      <c r="I49" s="8" t="b">
        <v>0</v>
      </c>
      <c r="J49" s="8" t="b">
        <v>0</v>
      </c>
      <c r="K49" s="9" t="b">
        <v>0</v>
      </c>
      <c r="L49" s="5">
        <f>COUNTIF(E49:H49,TRUE)/4</f>
        <v>0</v>
      </c>
      <c r="M49" s="5">
        <f>COUNTIF(I49:J49,TRUE)/2</f>
        <v>0</v>
      </c>
      <c r="N49" s="5">
        <f>COUNTIF(K49,TRUE)/1</f>
        <v>0</v>
      </c>
      <c r="O49" s="11"/>
    </row>
    <row r="50" spans="1:15" ht="26.45" customHeight="1" x14ac:dyDescent="0.2">
      <c r="A50" s="3" t="s">
        <v>58</v>
      </c>
      <c r="B50" s="4" t="s">
        <v>67</v>
      </c>
      <c r="C50" s="6"/>
      <c r="D50" s="4" t="str">
        <f>IFERROR(_xlfn.XLOOKUP($A50,'DIRECTORIO Y PENDIENTES'!$A$4:$A$17,'DIRECTORIO Y PENDIENTES'!$B$4:$B$17,""),"")</f>
        <v>Luis Gerardo Rodríguez</v>
      </c>
      <c r="E50" s="7" t="b">
        <v>0</v>
      </c>
      <c r="F50" s="7" t="b">
        <v>0</v>
      </c>
      <c r="G50" s="7" t="b">
        <v>0</v>
      </c>
      <c r="H50" s="7" t="b">
        <v>0</v>
      </c>
      <c r="I50" s="8" t="b">
        <v>0</v>
      </c>
      <c r="J50" s="8" t="b">
        <v>0</v>
      </c>
      <c r="K50" s="9" t="b">
        <v>0</v>
      </c>
      <c r="L50" s="5">
        <f>COUNTIF(E50:H50,TRUE)/4</f>
        <v>0</v>
      </c>
      <c r="M50" s="5">
        <f>COUNTIF(I50:J50,TRUE)/2</f>
        <v>0</v>
      </c>
      <c r="N50" s="5">
        <f>COUNTIF(K50,TRUE)/1</f>
        <v>0</v>
      </c>
      <c r="O50" s="11"/>
    </row>
    <row r="51" spans="1:15" ht="26.45" customHeight="1" x14ac:dyDescent="0.2">
      <c r="A51" s="3" t="s">
        <v>58</v>
      </c>
      <c r="B51" s="4" t="s">
        <v>68</v>
      </c>
      <c r="C51" s="6">
        <v>3</v>
      </c>
      <c r="D51" s="4" t="str">
        <f>IFERROR(_xlfn.XLOOKUP($A51,'DIRECTORIO Y PENDIENTES'!$A$4:$A$17,'DIRECTORIO Y PENDIENTES'!$B$4:$B$17,""),"")</f>
        <v>Luis Gerardo Rodríguez</v>
      </c>
      <c r="E51" s="7" t="b">
        <v>1</v>
      </c>
      <c r="F51" s="7" t="b">
        <v>1</v>
      </c>
      <c r="G51" s="7" t="b">
        <v>0</v>
      </c>
      <c r="H51" s="7" t="b">
        <v>0</v>
      </c>
      <c r="I51" s="8" t="b">
        <v>0</v>
      </c>
      <c r="J51" s="8" t="b">
        <v>0</v>
      </c>
      <c r="K51" s="9" t="b">
        <v>0</v>
      </c>
      <c r="L51" s="5">
        <f>COUNTIF(E51:H51,TRUE)/4</f>
        <v>0.5</v>
      </c>
      <c r="M51" s="5">
        <f>COUNTIF(I51:J51,TRUE)/2</f>
        <v>0</v>
      </c>
      <c r="N51" s="5">
        <f>COUNTIF(K51,TRUE)/1</f>
        <v>0</v>
      </c>
      <c r="O51" s="11"/>
    </row>
    <row r="52" spans="1:15" ht="26.45" customHeight="1" x14ac:dyDescent="0.2">
      <c r="A52" s="3" t="s">
        <v>36</v>
      </c>
      <c r="B52" s="4" t="s">
        <v>37</v>
      </c>
      <c r="C52" s="6"/>
      <c r="D52" s="4" t="str">
        <f>IFERROR(_xlfn.XLOOKUP($A52,'DIRECTORIO Y PENDIENTES'!$A$4:$A$17,'DIRECTORIO Y PENDIENTES'!$B$4:$B$17,""),"")</f>
        <v>Alfredo Rodriguez</v>
      </c>
      <c r="E52" s="7" t="b">
        <v>0</v>
      </c>
      <c r="F52" s="7" t="b">
        <v>0</v>
      </c>
      <c r="G52" s="7" t="b">
        <v>0</v>
      </c>
      <c r="H52" s="7" t="b">
        <v>0</v>
      </c>
      <c r="I52" s="8" t="b">
        <v>0</v>
      </c>
      <c r="J52" s="8" t="b">
        <v>0</v>
      </c>
      <c r="K52" s="9" t="b">
        <v>0</v>
      </c>
      <c r="L52" s="5">
        <f>COUNTIF(E52:H52,TRUE)/4</f>
        <v>0</v>
      </c>
      <c r="M52" s="5">
        <f>COUNTIF(I52:J52,TRUE)/2</f>
        <v>0</v>
      </c>
      <c r="N52" s="5">
        <f>COUNTIF(K52,TRUE)/1</f>
        <v>0</v>
      </c>
      <c r="O52" s="10"/>
    </row>
    <row r="53" spans="1:15" ht="26.45" customHeight="1" x14ac:dyDescent="0.2">
      <c r="A53" s="3" t="s">
        <v>36</v>
      </c>
      <c r="B53" s="4" t="s">
        <v>38</v>
      </c>
      <c r="C53" s="6"/>
      <c r="D53" s="4" t="str">
        <f>IFERROR(_xlfn.XLOOKUP($A53,'DIRECTORIO Y PENDIENTES'!$A$4:$A$17,'DIRECTORIO Y PENDIENTES'!$B$4:$B$17,""),"")</f>
        <v>Alfredo Rodriguez</v>
      </c>
      <c r="E53" s="7" t="b">
        <v>0</v>
      </c>
      <c r="F53" s="7" t="b">
        <v>0</v>
      </c>
      <c r="G53" s="7" t="b">
        <v>0</v>
      </c>
      <c r="H53" s="7" t="b">
        <v>0</v>
      </c>
      <c r="I53" s="8" t="b">
        <v>0</v>
      </c>
      <c r="J53" s="8" t="b">
        <v>0</v>
      </c>
      <c r="K53" s="9" t="b">
        <v>0</v>
      </c>
      <c r="L53" s="5">
        <f>COUNTIF(E53:H53,TRUE)/4</f>
        <v>0</v>
      </c>
      <c r="M53" s="5">
        <f>COUNTIF(I53:J53,TRUE)/2</f>
        <v>0</v>
      </c>
      <c r="N53" s="5">
        <f>COUNTIF(K53,TRUE)/1</f>
        <v>0</v>
      </c>
      <c r="O53" s="11"/>
    </row>
    <row r="54" spans="1:15" ht="26.45" customHeight="1" x14ac:dyDescent="0.2">
      <c r="A54" s="3" t="s">
        <v>36</v>
      </c>
      <c r="B54" s="4" t="s">
        <v>39</v>
      </c>
      <c r="C54" s="6"/>
      <c r="D54" s="4" t="str">
        <f>IFERROR(_xlfn.XLOOKUP($A54,'DIRECTORIO Y PENDIENTES'!$A$4:$A$17,'DIRECTORIO Y PENDIENTES'!$B$4:$B$17,""),"")</f>
        <v>Alfredo Rodriguez</v>
      </c>
      <c r="E54" s="7" t="b">
        <v>0</v>
      </c>
      <c r="F54" s="7" t="b">
        <v>0</v>
      </c>
      <c r="G54" s="7" t="b">
        <v>0</v>
      </c>
      <c r="H54" s="7" t="b">
        <v>0</v>
      </c>
      <c r="I54" s="8" t="b">
        <v>0</v>
      </c>
      <c r="J54" s="8" t="b">
        <v>0</v>
      </c>
      <c r="K54" s="9" t="b">
        <v>0</v>
      </c>
      <c r="L54" s="5">
        <f>COUNTIF(E54:H54,TRUE)/4</f>
        <v>0</v>
      </c>
      <c r="M54" s="5">
        <f>COUNTIF(I54:J54,TRUE)/2</f>
        <v>0</v>
      </c>
      <c r="N54" s="5">
        <f>COUNTIF(K54,TRUE)/1</f>
        <v>0</v>
      </c>
      <c r="O54" s="11"/>
    </row>
    <row r="55" spans="1:15" ht="26.45" customHeight="1" x14ac:dyDescent="0.2">
      <c r="A55" s="3" t="s">
        <v>36</v>
      </c>
      <c r="B55" s="4" t="s">
        <v>40</v>
      </c>
      <c r="C55" s="6"/>
      <c r="D55" s="4" t="str">
        <f>IFERROR(_xlfn.XLOOKUP($A55,'DIRECTORIO Y PENDIENTES'!$A$4:$A$17,'DIRECTORIO Y PENDIENTES'!$B$4:$B$17,""),"")</f>
        <v>Alfredo Rodriguez</v>
      </c>
      <c r="E55" s="7" t="b">
        <v>0</v>
      </c>
      <c r="F55" s="7" t="b">
        <v>0</v>
      </c>
      <c r="G55" s="7" t="b">
        <v>0</v>
      </c>
      <c r="H55" s="7" t="b">
        <v>0</v>
      </c>
      <c r="I55" s="8" t="b">
        <v>0</v>
      </c>
      <c r="J55" s="8" t="b">
        <v>0</v>
      </c>
      <c r="K55" s="9" t="b">
        <v>0</v>
      </c>
      <c r="L55" s="5">
        <f>COUNTIF(E55:H55,TRUE)/4</f>
        <v>0</v>
      </c>
      <c r="M55" s="5">
        <f>COUNTIF(I55:J55,TRUE)/2</f>
        <v>0</v>
      </c>
      <c r="N55" s="5">
        <f>COUNTIF(K55,TRUE)/1</f>
        <v>0</v>
      </c>
      <c r="O55" s="11"/>
    </row>
    <row r="56" spans="1:15" ht="26.45" customHeight="1" x14ac:dyDescent="0.2">
      <c r="A56" s="3" t="s">
        <v>36</v>
      </c>
      <c r="B56" s="4" t="s">
        <v>41</v>
      </c>
      <c r="C56" s="6"/>
      <c r="D56" s="4" t="str">
        <f>IFERROR(_xlfn.XLOOKUP($A56,'DIRECTORIO Y PENDIENTES'!$A$4:$A$17,'DIRECTORIO Y PENDIENTES'!$B$4:$B$17,""),"")</f>
        <v>Alfredo Rodriguez</v>
      </c>
      <c r="E56" s="7" t="b">
        <v>0</v>
      </c>
      <c r="F56" s="7" t="b">
        <v>0</v>
      </c>
      <c r="G56" s="7" t="b">
        <v>0</v>
      </c>
      <c r="H56" s="7" t="b">
        <v>0</v>
      </c>
      <c r="I56" s="8" t="b">
        <v>0</v>
      </c>
      <c r="J56" s="8" t="b">
        <v>0</v>
      </c>
      <c r="K56" s="9" t="b">
        <v>0</v>
      </c>
      <c r="L56" s="5">
        <f>COUNTIF(E56:H56,TRUE)/4</f>
        <v>0</v>
      </c>
      <c r="M56" s="5">
        <f>COUNTIF(I56:J56,TRUE)/2</f>
        <v>0</v>
      </c>
      <c r="N56" s="5">
        <f>COUNTIF(K56,TRUE)/1</f>
        <v>0</v>
      </c>
      <c r="O56" s="11"/>
    </row>
    <row r="57" spans="1:15" ht="26.45" customHeight="1" x14ac:dyDescent="0.2">
      <c r="A57" s="3" t="s">
        <v>36</v>
      </c>
      <c r="B57" s="4" t="s">
        <v>42</v>
      </c>
      <c r="C57" s="6"/>
      <c r="D57" s="4" t="str">
        <f>IFERROR(_xlfn.XLOOKUP($A57,'DIRECTORIO Y PENDIENTES'!$A$4:$A$17,'DIRECTORIO Y PENDIENTES'!$B$4:$B$17,""),"")</f>
        <v>Alfredo Rodriguez</v>
      </c>
      <c r="E57" s="7" t="b">
        <v>0</v>
      </c>
      <c r="F57" s="7" t="b">
        <v>0</v>
      </c>
      <c r="G57" s="7" t="b">
        <v>0</v>
      </c>
      <c r="H57" s="7" t="b">
        <v>0</v>
      </c>
      <c r="I57" s="8" t="b">
        <v>0</v>
      </c>
      <c r="J57" s="8" t="b">
        <v>0</v>
      </c>
      <c r="K57" s="9" t="b">
        <v>0</v>
      </c>
      <c r="L57" s="5">
        <f>COUNTIF(E57:H57,TRUE)/4</f>
        <v>0</v>
      </c>
      <c r="M57" s="5">
        <f>COUNTIF(I57:J57,TRUE)/2</f>
        <v>0</v>
      </c>
      <c r="N57" s="5">
        <f>COUNTIF(K57,TRUE)/1</f>
        <v>0</v>
      </c>
      <c r="O57" s="11"/>
    </row>
    <row r="58" spans="1:15" ht="26.45" customHeight="1" x14ac:dyDescent="0.2">
      <c r="A58" s="3" t="s">
        <v>36</v>
      </c>
      <c r="B58" s="4" t="s">
        <v>43</v>
      </c>
      <c r="C58" s="6"/>
      <c r="D58" s="4" t="str">
        <f>IFERROR(_xlfn.XLOOKUP($A58,'DIRECTORIO Y PENDIENTES'!$A$4:$A$17,'DIRECTORIO Y PENDIENTES'!$B$4:$B$17,""),"")</f>
        <v>Alfredo Rodriguez</v>
      </c>
      <c r="E58" s="7" t="b">
        <v>0</v>
      </c>
      <c r="F58" s="7" t="b">
        <v>0</v>
      </c>
      <c r="G58" s="7" t="b">
        <v>0</v>
      </c>
      <c r="H58" s="7" t="b">
        <v>0</v>
      </c>
      <c r="I58" s="8" t="b">
        <v>0</v>
      </c>
      <c r="J58" s="8" t="b">
        <v>0</v>
      </c>
      <c r="K58" s="9" t="b">
        <v>0</v>
      </c>
      <c r="L58" s="5">
        <f>COUNTIF(E58:H58,TRUE)/4</f>
        <v>0</v>
      </c>
      <c r="M58" s="5">
        <f>COUNTIF(I58:J58,TRUE)/2</f>
        <v>0</v>
      </c>
      <c r="N58" s="5">
        <f>COUNTIF(K58,TRUE)/1</f>
        <v>0</v>
      </c>
      <c r="O58" s="11"/>
    </row>
    <row r="59" spans="1:15" ht="26.45" customHeight="1" x14ac:dyDescent="0.2">
      <c r="A59" s="3" t="s">
        <v>36</v>
      </c>
      <c r="B59" s="4" t="s">
        <v>44</v>
      </c>
      <c r="C59" s="6"/>
      <c r="D59" s="4" t="str">
        <f>IFERROR(_xlfn.XLOOKUP($A59,'DIRECTORIO Y PENDIENTES'!$A$4:$A$17,'DIRECTORIO Y PENDIENTES'!$B$4:$B$17,""),"")</f>
        <v>Alfredo Rodriguez</v>
      </c>
      <c r="E59" s="7" t="b">
        <v>0</v>
      </c>
      <c r="F59" s="7" t="b">
        <v>0</v>
      </c>
      <c r="G59" s="7" t="b">
        <v>0</v>
      </c>
      <c r="H59" s="7" t="b">
        <v>0</v>
      </c>
      <c r="I59" s="8" t="b">
        <v>0</v>
      </c>
      <c r="J59" s="8" t="b">
        <v>0</v>
      </c>
      <c r="K59" s="9" t="b">
        <v>0</v>
      </c>
      <c r="L59" s="5">
        <f>COUNTIF(E59:H59,TRUE)/4</f>
        <v>0</v>
      </c>
      <c r="M59" s="5">
        <f>COUNTIF(I59:J59,TRUE)/2</f>
        <v>0</v>
      </c>
      <c r="N59" s="5">
        <f>COUNTIF(K59,TRUE)/1</f>
        <v>0</v>
      </c>
      <c r="O59" s="11"/>
    </row>
    <row r="60" spans="1:15" ht="26.45" customHeight="1" x14ac:dyDescent="0.2">
      <c r="A60" s="3" t="s">
        <v>36</v>
      </c>
      <c r="B60" s="4" t="s">
        <v>45</v>
      </c>
      <c r="C60" s="6"/>
      <c r="D60" s="4" t="str">
        <f>IFERROR(_xlfn.XLOOKUP($A60,'DIRECTORIO Y PENDIENTES'!$A$4:$A$17,'DIRECTORIO Y PENDIENTES'!$B$4:$B$17,""),"")</f>
        <v>Alfredo Rodriguez</v>
      </c>
      <c r="E60" s="7" t="b">
        <v>0</v>
      </c>
      <c r="F60" s="7" t="b">
        <v>0</v>
      </c>
      <c r="G60" s="7" t="b">
        <v>0</v>
      </c>
      <c r="H60" s="7" t="b">
        <v>0</v>
      </c>
      <c r="I60" s="8" t="b">
        <v>0</v>
      </c>
      <c r="J60" s="8" t="b">
        <v>0</v>
      </c>
      <c r="K60" s="9" t="b">
        <v>0</v>
      </c>
      <c r="L60" s="5">
        <f>COUNTIF(E60:H60,TRUE)/4</f>
        <v>0</v>
      </c>
      <c r="M60" s="5">
        <f>COUNTIF(I60:J60,TRUE)/2</f>
        <v>0</v>
      </c>
      <c r="N60" s="5">
        <f>COUNTIF(K60,TRUE)/1</f>
        <v>0</v>
      </c>
      <c r="O60" s="11"/>
    </row>
    <row r="61" spans="1:15" ht="26.45" customHeight="1" x14ac:dyDescent="0.2">
      <c r="A61" s="3" t="s">
        <v>36</v>
      </c>
      <c r="B61" s="4" t="s">
        <v>46</v>
      </c>
      <c r="C61" s="6"/>
      <c r="D61" s="4" t="str">
        <f>IFERROR(_xlfn.XLOOKUP($A61,'DIRECTORIO Y PENDIENTES'!$A$4:$A$17,'DIRECTORIO Y PENDIENTES'!$B$4:$B$17,""),"")</f>
        <v>Alfredo Rodriguez</v>
      </c>
      <c r="E61" s="7" t="b">
        <v>0</v>
      </c>
      <c r="F61" s="7" t="b">
        <v>0</v>
      </c>
      <c r="G61" s="7" t="b">
        <v>0</v>
      </c>
      <c r="H61" s="7" t="b">
        <v>0</v>
      </c>
      <c r="I61" s="8" t="b">
        <v>0</v>
      </c>
      <c r="J61" s="8" t="b">
        <v>0</v>
      </c>
      <c r="K61" s="9" t="b">
        <v>0</v>
      </c>
      <c r="L61" s="5">
        <f>COUNTIF(E61:H61,TRUE)/4</f>
        <v>0</v>
      </c>
      <c r="M61" s="5">
        <f>COUNTIF(I61:J61,TRUE)/2</f>
        <v>0</v>
      </c>
      <c r="N61" s="5">
        <f>COUNTIF(K61,TRUE)/1</f>
        <v>0</v>
      </c>
      <c r="O61" s="11"/>
    </row>
    <row r="62" spans="1:15" ht="26.45" customHeight="1" x14ac:dyDescent="0.2">
      <c r="A62" s="3" t="s">
        <v>36</v>
      </c>
      <c r="B62" s="4" t="s">
        <v>47</v>
      </c>
      <c r="C62" s="6"/>
      <c r="D62" s="4" t="str">
        <f>IFERROR(_xlfn.XLOOKUP($A62,'DIRECTORIO Y PENDIENTES'!$A$4:$A$17,'DIRECTORIO Y PENDIENTES'!$B$4:$B$17,""),"")</f>
        <v>Alfredo Rodriguez</v>
      </c>
      <c r="E62" s="7" t="b">
        <v>0</v>
      </c>
      <c r="F62" s="7" t="b">
        <v>0</v>
      </c>
      <c r="G62" s="7" t="b">
        <v>0</v>
      </c>
      <c r="H62" s="7" t="b">
        <v>0</v>
      </c>
      <c r="I62" s="8" t="b">
        <v>0</v>
      </c>
      <c r="J62" s="8" t="b">
        <v>0</v>
      </c>
      <c r="K62" s="9" t="b">
        <v>0</v>
      </c>
      <c r="L62" s="5">
        <f>COUNTIF(E62:H62,TRUE)/4</f>
        <v>0</v>
      </c>
      <c r="M62" s="5">
        <f>COUNTIF(I62:J62,TRUE)/2</f>
        <v>0</v>
      </c>
      <c r="N62" s="5">
        <f>COUNTIF(K62,TRUE)/1</f>
        <v>0</v>
      </c>
      <c r="O62" s="11"/>
    </row>
    <row r="63" spans="1:15" ht="26.45" customHeight="1" x14ac:dyDescent="0.2">
      <c r="A63" s="3" t="s">
        <v>36</v>
      </c>
      <c r="B63" s="4" t="s">
        <v>48</v>
      </c>
      <c r="C63" s="6"/>
      <c r="D63" s="4" t="str">
        <f>IFERROR(_xlfn.XLOOKUP($A63,'DIRECTORIO Y PENDIENTES'!$A$4:$A$17,'DIRECTORIO Y PENDIENTES'!$B$4:$B$17,""),"")</f>
        <v>Alfredo Rodriguez</v>
      </c>
      <c r="E63" s="7" t="b">
        <v>0</v>
      </c>
      <c r="F63" s="7" t="b">
        <v>0</v>
      </c>
      <c r="G63" s="7" t="b">
        <v>0</v>
      </c>
      <c r="H63" s="7" t="b">
        <v>0</v>
      </c>
      <c r="I63" s="8" t="b">
        <v>0</v>
      </c>
      <c r="J63" s="8" t="b">
        <v>0</v>
      </c>
      <c r="K63" s="9" t="b">
        <v>0</v>
      </c>
      <c r="L63" s="5">
        <f>COUNTIF(E63:H63,TRUE)/4</f>
        <v>0</v>
      </c>
      <c r="M63" s="5">
        <f>COUNTIF(I63:J63,TRUE)/2</f>
        <v>0</v>
      </c>
      <c r="N63" s="5">
        <f>COUNTIF(K63,TRUE)/1</f>
        <v>0</v>
      </c>
      <c r="O63" s="11"/>
    </row>
    <row r="64" spans="1:15" ht="26.45" customHeight="1" x14ac:dyDescent="0.2">
      <c r="A64" s="3" t="s">
        <v>36</v>
      </c>
      <c r="B64" s="4" t="s">
        <v>49</v>
      </c>
      <c r="C64" s="6"/>
      <c r="D64" s="4" t="str">
        <f>IFERROR(_xlfn.XLOOKUP($A64,'DIRECTORIO Y PENDIENTES'!$A$4:$A$17,'DIRECTORIO Y PENDIENTES'!$B$4:$B$17,""),"")</f>
        <v>Alfredo Rodriguez</v>
      </c>
      <c r="E64" s="7" t="b">
        <v>0</v>
      </c>
      <c r="F64" s="7" t="b">
        <v>0</v>
      </c>
      <c r="G64" s="7" t="b">
        <v>0</v>
      </c>
      <c r="H64" s="7" t="b">
        <v>0</v>
      </c>
      <c r="I64" s="8" t="b">
        <v>0</v>
      </c>
      <c r="J64" s="8" t="b">
        <v>0</v>
      </c>
      <c r="K64" s="9" t="b">
        <v>0</v>
      </c>
      <c r="L64" s="5">
        <f>COUNTIF(E64:H64,TRUE)/4</f>
        <v>0</v>
      </c>
      <c r="M64" s="5">
        <f>COUNTIF(I64:J64,TRUE)/2</f>
        <v>0</v>
      </c>
      <c r="N64" s="5">
        <f>COUNTIF(K64,TRUE)/1</f>
        <v>0</v>
      </c>
      <c r="O64" s="11"/>
    </row>
    <row r="65" spans="1:15" ht="26.45" customHeight="1" x14ac:dyDescent="0.2">
      <c r="A65" s="3" t="s">
        <v>36</v>
      </c>
      <c r="B65" s="4" t="s">
        <v>50</v>
      </c>
      <c r="C65" s="6"/>
      <c r="D65" s="4" t="str">
        <f>IFERROR(_xlfn.XLOOKUP($A65,'DIRECTORIO Y PENDIENTES'!$A$4:$A$17,'DIRECTORIO Y PENDIENTES'!$B$4:$B$17,""),"")</f>
        <v>Alfredo Rodriguez</v>
      </c>
      <c r="E65" s="7" t="b">
        <v>0</v>
      </c>
      <c r="F65" s="7" t="b">
        <v>0</v>
      </c>
      <c r="G65" s="7" t="b">
        <v>0</v>
      </c>
      <c r="H65" s="7" t="b">
        <v>0</v>
      </c>
      <c r="I65" s="8" t="b">
        <v>0</v>
      </c>
      <c r="J65" s="8" t="b">
        <v>0</v>
      </c>
      <c r="K65" s="9" t="b">
        <v>0</v>
      </c>
      <c r="L65" s="5">
        <f>COUNTIF(E65:H65,TRUE)/4</f>
        <v>0</v>
      </c>
      <c r="M65" s="5">
        <f>COUNTIF(I65:J65,TRUE)/2</f>
        <v>0</v>
      </c>
      <c r="N65" s="5">
        <f>COUNTIF(K65,TRUE)/1</f>
        <v>0</v>
      </c>
      <c r="O65" s="11"/>
    </row>
    <row r="66" spans="1:15" ht="26.45" customHeight="1" x14ac:dyDescent="0.2">
      <c r="A66" s="3" t="s">
        <v>36</v>
      </c>
      <c r="B66" s="4" t="s">
        <v>51</v>
      </c>
      <c r="C66" s="6"/>
      <c r="D66" s="4" t="str">
        <f>IFERROR(_xlfn.XLOOKUP($A66,'DIRECTORIO Y PENDIENTES'!$A$4:$A$17,'DIRECTORIO Y PENDIENTES'!$B$4:$B$17,""),"")</f>
        <v>Alfredo Rodriguez</v>
      </c>
      <c r="E66" s="7" t="b">
        <v>0</v>
      </c>
      <c r="F66" s="7" t="b">
        <v>0</v>
      </c>
      <c r="G66" s="7" t="b">
        <v>0</v>
      </c>
      <c r="H66" s="7" t="b">
        <v>0</v>
      </c>
      <c r="I66" s="8" t="b">
        <v>0</v>
      </c>
      <c r="J66" s="8" t="b">
        <v>0</v>
      </c>
      <c r="K66" s="9" t="b">
        <v>0</v>
      </c>
      <c r="L66" s="5">
        <f>COUNTIF(E66:H66,TRUE)/4</f>
        <v>0</v>
      </c>
      <c r="M66" s="5">
        <f>COUNTIF(I66:J66,TRUE)/2</f>
        <v>0</v>
      </c>
      <c r="N66" s="5">
        <f>COUNTIF(K66,TRUE)/1</f>
        <v>0</v>
      </c>
      <c r="O66" s="11"/>
    </row>
    <row r="67" spans="1:15" ht="26.45" customHeight="1" x14ac:dyDescent="0.2">
      <c r="A67" s="3" t="s">
        <v>36</v>
      </c>
      <c r="B67" s="4" t="s">
        <v>52</v>
      </c>
      <c r="C67" s="6"/>
      <c r="D67" s="4" t="str">
        <f>IFERROR(_xlfn.XLOOKUP($A67,'DIRECTORIO Y PENDIENTES'!$A$4:$A$17,'DIRECTORIO Y PENDIENTES'!$B$4:$B$17,""),"")</f>
        <v>Alfredo Rodriguez</v>
      </c>
      <c r="E67" s="7" t="b">
        <v>0</v>
      </c>
      <c r="F67" s="7" t="b">
        <v>0</v>
      </c>
      <c r="G67" s="7" t="b">
        <v>0</v>
      </c>
      <c r="H67" s="7" t="b">
        <v>0</v>
      </c>
      <c r="I67" s="8" t="b">
        <v>0</v>
      </c>
      <c r="J67" s="8" t="b">
        <v>0</v>
      </c>
      <c r="K67" s="9" t="b">
        <v>0</v>
      </c>
      <c r="L67" s="5">
        <f>COUNTIF(E67:H67,TRUE)/4</f>
        <v>0</v>
      </c>
      <c r="M67" s="5">
        <f>COUNTIF(I67:J67,TRUE)/2</f>
        <v>0</v>
      </c>
      <c r="N67" s="5">
        <f>COUNTIF(K67,TRUE)/1</f>
        <v>0</v>
      </c>
      <c r="O67" s="11"/>
    </row>
    <row r="68" spans="1:15" ht="26.45" customHeight="1" x14ac:dyDescent="0.2">
      <c r="A68" s="3" t="s">
        <v>36</v>
      </c>
      <c r="B68" s="4" t="s">
        <v>53</v>
      </c>
      <c r="C68" s="6"/>
      <c r="D68" s="4" t="str">
        <f>IFERROR(_xlfn.XLOOKUP($A68,'DIRECTORIO Y PENDIENTES'!$A$4:$A$17,'DIRECTORIO Y PENDIENTES'!$B$4:$B$17,""),"")</f>
        <v>Alfredo Rodriguez</v>
      </c>
      <c r="E68" s="7" t="b">
        <v>0</v>
      </c>
      <c r="F68" s="7" t="b">
        <v>0</v>
      </c>
      <c r="G68" s="7" t="b">
        <v>0</v>
      </c>
      <c r="H68" s="7" t="b">
        <v>0</v>
      </c>
      <c r="I68" s="8" t="b">
        <v>0</v>
      </c>
      <c r="J68" s="8" t="b">
        <v>0</v>
      </c>
      <c r="K68" s="9" t="b">
        <v>0</v>
      </c>
      <c r="L68" s="5">
        <f>COUNTIF(E68:H68,TRUE)/4</f>
        <v>0</v>
      </c>
      <c r="M68" s="5">
        <f>COUNTIF(I68:J68,TRUE)/2</f>
        <v>0</v>
      </c>
      <c r="N68" s="5">
        <f>COUNTIF(K68,TRUE)/1</f>
        <v>0</v>
      </c>
      <c r="O68" s="11"/>
    </row>
    <row r="69" spans="1:15" ht="26.45" customHeight="1" x14ac:dyDescent="0.2">
      <c r="A69" s="3" t="s">
        <v>114</v>
      </c>
      <c r="B69" s="4" t="s">
        <v>115</v>
      </c>
      <c r="C69" s="6"/>
      <c r="D69" s="4" t="str">
        <f>IFERROR(_xlfn.XLOOKUP($A69,'DIRECTORIO Y PENDIENTES'!$A$4:$A$17,'DIRECTORIO Y PENDIENTES'!$B$4:$B$17,""),"")</f>
        <v>Marco Rivas</v>
      </c>
      <c r="E69" s="7" t="b">
        <v>0</v>
      </c>
      <c r="F69" s="7" t="b">
        <v>0</v>
      </c>
      <c r="G69" s="7" t="b">
        <v>0</v>
      </c>
      <c r="H69" s="7" t="b">
        <v>0</v>
      </c>
      <c r="I69" s="8" t="b">
        <v>0</v>
      </c>
      <c r="J69" s="8" t="b">
        <v>0</v>
      </c>
      <c r="K69" s="9" t="b">
        <v>0</v>
      </c>
      <c r="L69" s="5">
        <f>COUNTIF(E69:H69,TRUE)/4</f>
        <v>0</v>
      </c>
      <c r="M69" s="5">
        <f>COUNTIF(I69:J69,TRUE)/2</f>
        <v>0</v>
      </c>
      <c r="N69" s="5">
        <f>COUNTIF(K69,TRUE)/1</f>
        <v>0</v>
      </c>
      <c r="O69" s="11"/>
    </row>
    <row r="70" spans="1:15" ht="26.45" customHeight="1" x14ac:dyDescent="0.2">
      <c r="A70" s="3" t="s">
        <v>114</v>
      </c>
      <c r="B70" s="4" t="s">
        <v>22</v>
      </c>
      <c r="C70" s="6"/>
      <c r="D70" s="4" t="str">
        <f>IFERROR(_xlfn.XLOOKUP($A70,'DIRECTORIO Y PENDIENTES'!$A$4:$A$17,'DIRECTORIO Y PENDIENTES'!$B$4:$B$17,""),"")</f>
        <v>Marco Rivas</v>
      </c>
      <c r="E70" s="7" t="b">
        <v>0</v>
      </c>
      <c r="F70" s="7" t="b">
        <v>0</v>
      </c>
      <c r="G70" s="7" t="b">
        <v>0</v>
      </c>
      <c r="H70" s="7" t="b">
        <v>0</v>
      </c>
      <c r="I70" s="8" t="b">
        <v>0</v>
      </c>
      <c r="J70" s="8" t="b">
        <v>0</v>
      </c>
      <c r="K70" s="9" t="b">
        <v>0</v>
      </c>
      <c r="L70" s="5">
        <f>COUNTIF(E70:H70,TRUE)/4</f>
        <v>0</v>
      </c>
      <c r="M70" s="5">
        <f>COUNTIF(I70:J70,TRUE)/2</f>
        <v>0</v>
      </c>
      <c r="N70" s="5">
        <f>COUNTIF(K70,TRUE)/1</f>
        <v>0</v>
      </c>
      <c r="O70" s="11"/>
    </row>
    <row r="71" spans="1:15" ht="26.45" customHeight="1" x14ac:dyDescent="0.2">
      <c r="A71" s="3" t="s">
        <v>114</v>
      </c>
      <c r="B71" s="4" t="s">
        <v>116</v>
      </c>
      <c r="C71" s="6"/>
      <c r="D71" s="4" t="str">
        <f>IFERROR(_xlfn.XLOOKUP($A71,'DIRECTORIO Y PENDIENTES'!$A$4:$A$17,'DIRECTORIO Y PENDIENTES'!$B$4:$B$17,""),"")</f>
        <v>Marco Rivas</v>
      </c>
      <c r="E71" s="7" t="b">
        <v>0</v>
      </c>
      <c r="F71" s="7" t="b">
        <v>0</v>
      </c>
      <c r="G71" s="7" t="b">
        <v>0</v>
      </c>
      <c r="H71" s="7" t="b">
        <v>0</v>
      </c>
      <c r="I71" s="8" t="b">
        <v>0</v>
      </c>
      <c r="J71" s="8" t="b">
        <v>0</v>
      </c>
      <c r="K71" s="9" t="b">
        <v>0</v>
      </c>
      <c r="L71" s="5">
        <f>COUNTIF(E71:H71,TRUE)/4</f>
        <v>0</v>
      </c>
      <c r="M71" s="5">
        <f>COUNTIF(I71:J71,TRUE)/2</f>
        <v>0</v>
      </c>
      <c r="N71" s="5">
        <f>COUNTIF(K71,TRUE)/1</f>
        <v>0</v>
      </c>
      <c r="O71" s="11"/>
    </row>
    <row r="72" spans="1:15" ht="26.45" customHeight="1" x14ac:dyDescent="0.2">
      <c r="A72" s="3" t="s">
        <v>114</v>
      </c>
      <c r="B72" s="4" t="s">
        <v>117</v>
      </c>
      <c r="C72" s="6"/>
      <c r="D72" s="4" t="str">
        <f>IFERROR(_xlfn.XLOOKUP($A72,'DIRECTORIO Y PENDIENTES'!$A$4:$A$17,'DIRECTORIO Y PENDIENTES'!$B$4:$B$17,""),"")</f>
        <v>Marco Rivas</v>
      </c>
      <c r="E72" s="7" t="b">
        <v>0</v>
      </c>
      <c r="F72" s="7" t="b">
        <v>0</v>
      </c>
      <c r="G72" s="7" t="b">
        <v>0</v>
      </c>
      <c r="H72" s="7" t="b">
        <v>0</v>
      </c>
      <c r="I72" s="8" t="b">
        <v>0</v>
      </c>
      <c r="J72" s="8" t="b">
        <v>0</v>
      </c>
      <c r="K72" s="9" t="b">
        <v>0</v>
      </c>
      <c r="L72" s="5">
        <f>COUNTIF(E72:H72,TRUE)/4</f>
        <v>0</v>
      </c>
      <c r="M72" s="5">
        <f>COUNTIF(I72:J72,TRUE)/2</f>
        <v>0</v>
      </c>
      <c r="N72" s="5">
        <f>COUNTIF(K72,TRUE)/1</f>
        <v>0</v>
      </c>
      <c r="O72" s="11"/>
    </row>
    <row r="73" spans="1:15" ht="26.45" customHeight="1" x14ac:dyDescent="0.2">
      <c r="A73" s="3" t="s">
        <v>91</v>
      </c>
      <c r="B73" s="4" t="s">
        <v>92</v>
      </c>
      <c r="C73" s="6"/>
      <c r="D73" s="4" t="str">
        <f>IFERROR(_xlfn.XLOOKUP($A73,'DIRECTORIO Y PENDIENTES'!$A$4:$A$17,'DIRECTORIO Y PENDIENTES'!$B$4:$B$17,""),"")</f>
        <v>Pavel Sanchez</v>
      </c>
      <c r="E73" s="7" t="b">
        <v>0</v>
      </c>
      <c r="F73" s="7" t="b">
        <v>0</v>
      </c>
      <c r="G73" s="7" t="b">
        <v>0</v>
      </c>
      <c r="H73" s="7" t="b">
        <v>0</v>
      </c>
      <c r="I73" s="8" t="b">
        <v>0</v>
      </c>
      <c r="J73" s="8" t="b">
        <v>0</v>
      </c>
      <c r="K73" s="9" t="b">
        <v>0</v>
      </c>
      <c r="L73" s="5">
        <f>COUNTIF(E73:H73,TRUE)/4</f>
        <v>0</v>
      </c>
      <c r="M73" s="5">
        <f>COUNTIF(I73:J73,TRUE)/2</f>
        <v>0</v>
      </c>
      <c r="N73" s="5">
        <f>COUNTIF(K73,TRUE)/1</f>
        <v>0</v>
      </c>
      <c r="O73" s="11"/>
    </row>
    <row r="74" spans="1:15" ht="26.45" customHeight="1" x14ac:dyDescent="0.2">
      <c r="A74" s="3" t="s">
        <v>91</v>
      </c>
      <c r="B74" s="4" t="s">
        <v>93</v>
      </c>
      <c r="C74" s="6"/>
      <c r="D74" s="4" t="str">
        <f>IFERROR(_xlfn.XLOOKUP($A74,'DIRECTORIO Y PENDIENTES'!$A$4:$A$17,'DIRECTORIO Y PENDIENTES'!$B$4:$B$17,""),"")</f>
        <v>Pavel Sanchez</v>
      </c>
      <c r="E74" s="7" t="b">
        <v>0</v>
      </c>
      <c r="F74" s="7" t="b">
        <v>0</v>
      </c>
      <c r="G74" s="7" t="b">
        <v>0</v>
      </c>
      <c r="H74" s="7" t="b">
        <v>0</v>
      </c>
      <c r="I74" s="8" t="b">
        <v>0</v>
      </c>
      <c r="J74" s="8" t="b">
        <v>0</v>
      </c>
      <c r="K74" s="9" t="b">
        <v>0</v>
      </c>
      <c r="L74" s="5">
        <f>COUNTIF(E74:H74,TRUE)/4</f>
        <v>0</v>
      </c>
      <c r="M74" s="5">
        <f>COUNTIF(I74:J74,TRUE)/2</f>
        <v>0</v>
      </c>
      <c r="N74" s="5">
        <f>COUNTIF(K74,TRUE)/1</f>
        <v>0</v>
      </c>
      <c r="O74" s="11"/>
    </row>
    <row r="75" spans="1:15" ht="26.45" customHeight="1" x14ac:dyDescent="0.2">
      <c r="A75" s="3" t="s">
        <v>91</v>
      </c>
      <c r="B75" s="4" t="s">
        <v>94</v>
      </c>
      <c r="C75" s="6"/>
      <c r="D75" s="4" t="str">
        <f>IFERROR(_xlfn.XLOOKUP($A75,'DIRECTORIO Y PENDIENTES'!$A$4:$A$17,'DIRECTORIO Y PENDIENTES'!$B$4:$B$17,""),"")</f>
        <v>Pavel Sanchez</v>
      </c>
      <c r="E75" s="7" t="b">
        <v>0</v>
      </c>
      <c r="F75" s="7" t="b">
        <v>0</v>
      </c>
      <c r="G75" s="7" t="b">
        <v>0</v>
      </c>
      <c r="H75" s="7" t="b">
        <v>0</v>
      </c>
      <c r="I75" s="8" t="b">
        <v>0</v>
      </c>
      <c r="J75" s="8" t="b">
        <v>0</v>
      </c>
      <c r="K75" s="9" t="b">
        <v>0</v>
      </c>
      <c r="L75" s="5">
        <f>COUNTIF(E75:H75,TRUE)/4</f>
        <v>0</v>
      </c>
      <c r="M75" s="5">
        <f>COUNTIF(I75:J75,TRUE)/2</f>
        <v>0</v>
      </c>
      <c r="N75" s="5">
        <f>COUNTIF(K75,TRUE)/1</f>
        <v>0</v>
      </c>
      <c r="O75" s="11"/>
    </row>
    <row r="76" spans="1:15" ht="26.45" customHeight="1" x14ac:dyDescent="0.2">
      <c r="A76" s="3" t="s">
        <v>91</v>
      </c>
      <c r="B76" s="4" t="s">
        <v>95</v>
      </c>
      <c r="C76" s="6"/>
      <c r="D76" s="4" t="str">
        <f>IFERROR(_xlfn.XLOOKUP($A76,'DIRECTORIO Y PENDIENTES'!$A$4:$A$17,'DIRECTORIO Y PENDIENTES'!$B$4:$B$17,""),"")</f>
        <v>Pavel Sanchez</v>
      </c>
      <c r="E76" s="7" t="b">
        <v>0</v>
      </c>
      <c r="F76" s="7" t="b">
        <v>0</v>
      </c>
      <c r="G76" s="7" t="b">
        <v>0</v>
      </c>
      <c r="H76" s="7" t="b">
        <v>0</v>
      </c>
      <c r="I76" s="8" t="b">
        <v>0</v>
      </c>
      <c r="J76" s="8" t="b">
        <v>0</v>
      </c>
      <c r="K76" s="9" t="b">
        <v>0</v>
      </c>
      <c r="L76" s="5">
        <f>COUNTIF(E76:H76,TRUE)/4</f>
        <v>0</v>
      </c>
      <c r="M76" s="5">
        <f>COUNTIF(I76:J76,TRUE)/2</f>
        <v>0</v>
      </c>
      <c r="N76" s="5">
        <f>COUNTIF(K76,TRUE)/1</f>
        <v>0</v>
      </c>
      <c r="O76" s="11"/>
    </row>
    <row r="77" spans="1:15" ht="26.45" customHeight="1" x14ac:dyDescent="0.2">
      <c r="A77" s="3" t="s">
        <v>91</v>
      </c>
      <c r="B77" s="4" t="s">
        <v>96</v>
      </c>
      <c r="C77" s="6"/>
      <c r="D77" s="4" t="str">
        <f>IFERROR(_xlfn.XLOOKUP($A77,'DIRECTORIO Y PENDIENTES'!$A$4:$A$17,'DIRECTORIO Y PENDIENTES'!$B$4:$B$17,""),"")</f>
        <v>Pavel Sanchez</v>
      </c>
      <c r="E77" s="7" t="b">
        <v>0</v>
      </c>
      <c r="F77" s="7" t="b">
        <v>0</v>
      </c>
      <c r="G77" s="7" t="b">
        <v>0</v>
      </c>
      <c r="H77" s="7" t="b">
        <v>0</v>
      </c>
      <c r="I77" s="8" t="b">
        <v>0</v>
      </c>
      <c r="J77" s="8" t="b">
        <v>0</v>
      </c>
      <c r="K77" s="9" t="b">
        <v>0</v>
      </c>
      <c r="L77" s="5">
        <f>COUNTIF(E77:H77,TRUE)/4</f>
        <v>0</v>
      </c>
      <c r="M77" s="5">
        <f>COUNTIF(I77:J77,TRUE)/2</f>
        <v>0</v>
      </c>
      <c r="N77" s="5">
        <f>COUNTIF(K77,TRUE)/1</f>
        <v>0</v>
      </c>
      <c r="O77" s="11"/>
    </row>
    <row r="78" spans="1:15" ht="26.45" customHeight="1" x14ac:dyDescent="0.2">
      <c r="A78" s="3" t="s">
        <v>54</v>
      </c>
      <c r="B78" s="4" t="s">
        <v>55</v>
      </c>
      <c r="C78" s="6"/>
      <c r="D78" s="4" t="str">
        <f>IFERROR(_xlfn.XLOOKUP($A78,'DIRECTORIO Y PENDIENTES'!$A$4:$A$17,'DIRECTORIO Y PENDIENTES'!$B$4:$B$17,""),"")</f>
        <v>Alfredo Rodriguez</v>
      </c>
      <c r="E78" s="7" t="b">
        <v>0</v>
      </c>
      <c r="F78" s="7" t="b">
        <v>0</v>
      </c>
      <c r="G78" s="7" t="b">
        <v>0</v>
      </c>
      <c r="H78" s="7" t="b">
        <v>0</v>
      </c>
      <c r="I78" s="8" t="b">
        <v>0</v>
      </c>
      <c r="J78" s="8" t="b">
        <v>0</v>
      </c>
      <c r="K78" s="9" t="b">
        <v>0</v>
      </c>
      <c r="L78" s="5">
        <f>COUNTIF(E78:H78,TRUE)/4</f>
        <v>0</v>
      </c>
      <c r="M78" s="5">
        <f>COUNTIF(I78:J78,TRUE)/2</f>
        <v>0</v>
      </c>
      <c r="N78" s="5">
        <f>COUNTIF(K78,TRUE)/1</f>
        <v>0</v>
      </c>
      <c r="O78" s="11"/>
    </row>
    <row r="79" spans="1:15" ht="26.45" customHeight="1" x14ac:dyDescent="0.2">
      <c r="A79" s="3" t="s">
        <v>54</v>
      </c>
      <c r="B79" s="4" t="s">
        <v>56</v>
      </c>
      <c r="C79" s="6"/>
      <c r="D79" s="4" t="str">
        <f>IFERROR(_xlfn.XLOOKUP($A79,'DIRECTORIO Y PENDIENTES'!$A$4:$A$17,'DIRECTORIO Y PENDIENTES'!$B$4:$B$17,""),"")</f>
        <v>Alfredo Rodriguez</v>
      </c>
      <c r="E79" s="7" t="b">
        <v>0</v>
      </c>
      <c r="F79" s="7" t="b">
        <v>0</v>
      </c>
      <c r="G79" s="7" t="b">
        <v>0</v>
      </c>
      <c r="H79" s="7" t="b">
        <v>0</v>
      </c>
      <c r="I79" s="8" t="b">
        <v>0</v>
      </c>
      <c r="J79" s="8" t="b">
        <v>0</v>
      </c>
      <c r="K79" s="9" t="b">
        <v>0</v>
      </c>
      <c r="L79" s="5">
        <f>COUNTIF(E79:H79,TRUE)/4</f>
        <v>0</v>
      </c>
      <c r="M79" s="5">
        <f>COUNTIF(I79:J79,TRUE)/2</f>
        <v>0</v>
      </c>
      <c r="N79" s="5">
        <f>COUNTIF(K79,TRUE)/1</f>
        <v>0</v>
      </c>
      <c r="O79" s="11"/>
    </row>
    <row r="80" spans="1:15" ht="26.45" customHeight="1" x14ac:dyDescent="0.2">
      <c r="A80" s="3" t="s">
        <v>54</v>
      </c>
      <c r="B80" s="4" t="s">
        <v>39</v>
      </c>
      <c r="C80" s="6"/>
      <c r="D80" s="4" t="str">
        <f>IFERROR(_xlfn.XLOOKUP($A80,'DIRECTORIO Y PENDIENTES'!$A$4:$A$17,'DIRECTORIO Y PENDIENTES'!$B$4:$B$17,""),"")</f>
        <v>Alfredo Rodriguez</v>
      </c>
      <c r="E80" s="7" t="b">
        <v>0</v>
      </c>
      <c r="F80" s="7" t="b">
        <v>0</v>
      </c>
      <c r="G80" s="7" t="b">
        <v>0</v>
      </c>
      <c r="H80" s="7" t="b">
        <v>0</v>
      </c>
      <c r="I80" s="8" t="b">
        <v>0</v>
      </c>
      <c r="J80" s="8" t="b">
        <v>0</v>
      </c>
      <c r="K80" s="9" t="b">
        <v>0</v>
      </c>
      <c r="L80" s="5">
        <f>COUNTIF(E80:H80,TRUE)/4</f>
        <v>0</v>
      </c>
      <c r="M80" s="5">
        <f>COUNTIF(I80:J80,TRUE)/2</f>
        <v>0</v>
      </c>
      <c r="N80" s="5">
        <f>COUNTIF(K80,TRUE)/1</f>
        <v>0</v>
      </c>
      <c r="O80" s="11"/>
    </row>
    <row r="81" spans="1:15" ht="26.45" customHeight="1" x14ac:dyDescent="0.2">
      <c r="A81" s="3" t="s">
        <v>118</v>
      </c>
      <c r="B81" s="4" t="s">
        <v>119</v>
      </c>
      <c r="C81" s="6"/>
      <c r="D81" s="4" t="str">
        <f>IFERROR(_xlfn.XLOOKUP($A81,'DIRECTORIO Y PENDIENTES'!$A$4:$A$17,'DIRECTORIO Y PENDIENTES'!$B$4:$B$17,""),"")</f>
        <v>Gerardo Rodríguez Miranda</v>
      </c>
      <c r="E81" s="7" t="b">
        <v>1</v>
      </c>
      <c r="F81" s="7" t="b">
        <v>1</v>
      </c>
      <c r="G81" s="7" t="b">
        <v>1</v>
      </c>
      <c r="H81" s="7" t="b">
        <v>1</v>
      </c>
      <c r="I81" s="8" t="b">
        <v>0</v>
      </c>
      <c r="J81" s="8" t="b">
        <v>0</v>
      </c>
      <c r="K81" s="9" t="b">
        <v>0</v>
      </c>
      <c r="L81" s="5">
        <f>COUNTIF(E81:H81,TRUE)/4</f>
        <v>1</v>
      </c>
      <c r="M81" s="5">
        <f>COUNTIF(I81:J81,TRUE)/2</f>
        <v>0</v>
      </c>
      <c r="N81" s="5">
        <f>COUNTIF(K81,TRUE)/1</f>
        <v>0</v>
      </c>
      <c r="O81" s="11"/>
    </row>
    <row r="82" spans="1:15" ht="26.45" customHeight="1" x14ac:dyDescent="0.2">
      <c r="A82" s="3" t="s">
        <v>118</v>
      </c>
      <c r="B82" s="4" t="s">
        <v>120</v>
      </c>
      <c r="C82" s="6"/>
      <c r="D82" s="4" t="str">
        <f>IFERROR(_xlfn.XLOOKUP($A82,'DIRECTORIO Y PENDIENTES'!$A$4:$A$17,'DIRECTORIO Y PENDIENTES'!$B$4:$B$17,""),"")</f>
        <v>Gerardo Rodríguez Miranda</v>
      </c>
      <c r="E82" s="7" t="b">
        <v>1</v>
      </c>
      <c r="F82" s="7" t="b">
        <v>1</v>
      </c>
      <c r="G82" s="7" t="b">
        <v>1</v>
      </c>
      <c r="H82" s="7" t="b">
        <v>1</v>
      </c>
      <c r="I82" s="8" t="b">
        <v>0</v>
      </c>
      <c r="J82" s="8" t="b">
        <v>0</v>
      </c>
      <c r="K82" s="9" t="b">
        <v>0</v>
      </c>
      <c r="L82" s="5">
        <f>COUNTIF(E82:H82,TRUE)/4</f>
        <v>1</v>
      </c>
      <c r="M82" s="5">
        <f>COUNTIF(I82:J82,TRUE)/2</f>
        <v>0</v>
      </c>
      <c r="N82" s="5">
        <f>COUNTIF(K82,TRUE)/1</f>
        <v>0</v>
      </c>
      <c r="O82" s="11"/>
    </row>
    <row r="83" spans="1:15" ht="26.45" customHeight="1" x14ac:dyDescent="0.2">
      <c r="A83" s="3" t="s">
        <v>118</v>
      </c>
      <c r="B83" s="4" t="s">
        <v>121</v>
      </c>
      <c r="C83" s="6"/>
      <c r="D83" s="4" t="str">
        <f>IFERROR(_xlfn.XLOOKUP($A83,'DIRECTORIO Y PENDIENTES'!$A$4:$A$17,'DIRECTORIO Y PENDIENTES'!$B$4:$B$17,""),"")</f>
        <v>Gerardo Rodríguez Miranda</v>
      </c>
      <c r="E83" s="7" t="b">
        <v>1</v>
      </c>
      <c r="F83" s="7" t="b">
        <v>1</v>
      </c>
      <c r="G83" s="7" t="b">
        <v>1</v>
      </c>
      <c r="H83" s="7" t="b">
        <v>1</v>
      </c>
      <c r="I83" s="8" t="b">
        <v>0</v>
      </c>
      <c r="J83" s="8" t="b">
        <v>0</v>
      </c>
      <c r="K83" s="9" t="b">
        <v>0</v>
      </c>
      <c r="L83" s="5">
        <f>COUNTIF(E83:H83,TRUE)/4</f>
        <v>1</v>
      </c>
      <c r="M83" s="5">
        <f>COUNTIF(I83:J83,TRUE)/2</f>
        <v>0</v>
      </c>
      <c r="N83" s="5">
        <f>COUNTIF(K83,TRUE)/1</f>
        <v>0</v>
      </c>
      <c r="O83" s="11"/>
    </row>
    <row r="84" spans="1:15" ht="26.45" customHeight="1" x14ac:dyDescent="0.2">
      <c r="A84" s="3" t="s">
        <v>118</v>
      </c>
      <c r="B84" s="4" t="s">
        <v>122</v>
      </c>
      <c r="C84" s="6"/>
      <c r="D84" s="4" t="str">
        <f>IFERROR(_xlfn.XLOOKUP($A84,'DIRECTORIO Y PENDIENTES'!$A$4:$A$17,'DIRECTORIO Y PENDIENTES'!$B$4:$B$17,""),"")</f>
        <v>Gerardo Rodríguez Miranda</v>
      </c>
      <c r="E84" s="7" t="b">
        <v>1</v>
      </c>
      <c r="F84" s="7" t="b">
        <v>1</v>
      </c>
      <c r="G84" s="7" t="b">
        <v>1</v>
      </c>
      <c r="H84" s="7" t="b">
        <v>1</v>
      </c>
      <c r="I84" s="8" t="b">
        <v>0</v>
      </c>
      <c r="J84" s="8" t="b">
        <v>0</v>
      </c>
      <c r="K84" s="9" t="b">
        <v>0</v>
      </c>
      <c r="L84" s="5">
        <f>COUNTIF(E84:H84,TRUE)/4</f>
        <v>1</v>
      </c>
      <c r="M84" s="5">
        <f>COUNTIF(I84:J84,TRUE)/2</f>
        <v>0</v>
      </c>
      <c r="N84" s="5">
        <f>COUNTIF(K84,TRUE)/1</f>
        <v>0</v>
      </c>
      <c r="O84" s="11"/>
    </row>
    <row r="85" spans="1:15" ht="26.45" customHeight="1" x14ac:dyDescent="0.2">
      <c r="A85" s="3" t="s">
        <v>118</v>
      </c>
      <c r="B85" s="4" t="s">
        <v>123</v>
      </c>
      <c r="C85" s="6"/>
      <c r="D85" s="4" t="str">
        <f>IFERROR(_xlfn.XLOOKUP($A85,'DIRECTORIO Y PENDIENTES'!$A$4:$A$17,'DIRECTORIO Y PENDIENTES'!$B$4:$B$17,""),"")</f>
        <v>Gerardo Rodríguez Miranda</v>
      </c>
      <c r="E85" s="7" t="b">
        <v>1</v>
      </c>
      <c r="F85" s="7" t="b">
        <v>1</v>
      </c>
      <c r="G85" s="7" t="b">
        <v>1</v>
      </c>
      <c r="H85" s="7" t="b">
        <v>1</v>
      </c>
      <c r="I85" s="8" t="b">
        <v>0</v>
      </c>
      <c r="J85" s="8" t="b">
        <v>0</v>
      </c>
      <c r="K85" s="9" t="b">
        <v>0</v>
      </c>
      <c r="L85" s="5">
        <f>COUNTIF(E85:H85,TRUE)/4</f>
        <v>1</v>
      </c>
      <c r="M85" s="5">
        <f>COUNTIF(I85:J85,TRUE)/2</f>
        <v>0</v>
      </c>
      <c r="N85" s="5">
        <f>COUNTIF(K85,TRUE)/1</f>
        <v>0</v>
      </c>
      <c r="O85" s="11"/>
    </row>
    <row r="86" spans="1:15" ht="26.45" customHeight="1" x14ac:dyDescent="0.2">
      <c r="A86" s="3" t="s">
        <v>118</v>
      </c>
      <c r="B86" s="4" t="s">
        <v>124</v>
      </c>
      <c r="C86" s="6"/>
      <c r="D86" s="4" t="str">
        <f>IFERROR(_xlfn.XLOOKUP($A86,'DIRECTORIO Y PENDIENTES'!$A$4:$A$17,'DIRECTORIO Y PENDIENTES'!$B$4:$B$17,""),"")</f>
        <v>Gerardo Rodríguez Miranda</v>
      </c>
      <c r="E86" s="7" t="b">
        <v>1</v>
      </c>
      <c r="F86" s="7" t="b">
        <v>1</v>
      </c>
      <c r="G86" s="7" t="b">
        <v>1</v>
      </c>
      <c r="H86" s="7" t="b">
        <v>1</v>
      </c>
      <c r="I86" s="8" t="b">
        <v>0</v>
      </c>
      <c r="J86" s="8" t="b">
        <v>0</v>
      </c>
      <c r="K86" s="9" t="b">
        <v>0</v>
      </c>
      <c r="L86" s="5">
        <f>COUNTIF(E86:H86,TRUE)/4</f>
        <v>1</v>
      </c>
      <c r="M86" s="5">
        <f>COUNTIF(I86:J86,TRUE)/2</f>
        <v>0</v>
      </c>
      <c r="N86" s="5">
        <f>COUNTIF(K86,TRUE)/1</f>
        <v>0</v>
      </c>
      <c r="O86" s="11"/>
    </row>
    <row r="87" spans="1:15" ht="26.45" customHeight="1" x14ac:dyDescent="0.2">
      <c r="A87" s="3" t="s">
        <v>118</v>
      </c>
      <c r="B87" s="4" t="s">
        <v>125</v>
      </c>
      <c r="C87" s="6"/>
      <c r="D87" s="4" t="str">
        <f>IFERROR(_xlfn.XLOOKUP($A87,'DIRECTORIO Y PENDIENTES'!$A$4:$A$17,'DIRECTORIO Y PENDIENTES'!$B$4:$B$17,""),"")</f>
        <v>Gerardo Rodríguez Miranda</v>
      </c>
      <c r="E87" s="7" t="b">
        <v>1</v>
      </c>
      <c r="F87" s="7" t="b">
        <v>1</v>
      </c>
      <c r="G87" s="7" t="b">
        <v>1</v>
      </c>
      <c r="H87" s="7" t="b">
        <v>1</v>
      </c>
      <c r="I87" s="8" t="b">
        <v>0</v>
      </c>
      <c r="J87" s="8" t="b">
        <v>0</v>
      </c>
      <c r="K87" s="9" t="b">
        <v>0</v>
      </c>
      <c r="L87" s="5">
        <f>COUNTIF(E87:H87,TRUE)/4</f>
        <v>1</v>
      </c>
      <c r="M87" s="5">
        <f>COUNTIF(I87:J87,TRUE)/2</f>
        <v>0</v>
      </c>
      <c r="N87" s="5">
        <f>COUNTIF(K87,TRUE)/1</f>
        <v>0</v>
      </c>
      <c r="O87" s="11"/>
    </row>
    <row r="88" spans="1:15" ht="26.45" customHeight="1" x14ac:dyDescent="0.2">
      <c r="A88" s="3" t="s">
        <v>118</v>
      </c>
      <c r="B88" s="4" t="s">
        <v>126</v>
      </c>
      <c r="C88" s="6"/>
      <c r="D88" s="4" t="str">
        <f>IFERROR(_xlfn.XLOOKUP($A88,'DIRECTORIO Y PENDIENTES'!$A$4:$A$17,'DIRECTORIO Y PENDIENTES'!$B$4:$B$17,""),"")</f>
        <v>Gerardo Rodríguez Miranda</v>
      </c>
      <c r="E88" s="7" t="b">
        <v>1</v>
      </c>
      <c r="F88" s="7" t="b">
        <v>1</v>
      </c>
      <c r="G88" s="7" t="b">
        <v>1</v>
      </c>
      <c r="H88" s="7" t="b">
        <v>1</v>
      </c>
      <c r="I88" s="8" t="b">
        <v>0</v>
      </c>
      <c r="J88" s="8" t="b">
        <v>0</v>
      </c>
      <c r="K88" s="9" t="b">
        <v>0</v>
      </c>
      <c r="L88" s="5">
        <f>COUNTIF(E88:H88,TRUE)/4</f>
        <v>1</v>
      </c>
      <c r="M88" s="5">
        <f>COUNTIF(I88:J88,TRUE)/2</f>
        <v>0</v>
      </c>
      <c r="N88" s="5">
        <f>COUNTIF(K88,TRUE)/1</f>
        <v>0</v>
      </c>
      <c r="O88" s="11"/>
    </row>
    <row r="89" spans="1:15" ht="26.45" customHeight="1" x14ac:dyDescent="0.2">
      <c r="A89" s="3" t="s">
        <v>118</v>
      </c>
      <c r="B89" s="4" t="s">
        <v>127</v>
      </c>
      <c r="C89" s="6"/>
      <c r="D89" s="4" t="str">
        <f>IFERROR(_xlfn.XLOOKUP($A89,'DIRECTORIO Y PENDIENTES'!$A$4:$A$17,'DIRECTORIO Y PENDIENTES'!$B$4:$B$17,""),"")</f>
        <v>Gerardo Rodríguez Miranda</v>
      </c>
      <c r="E89" s="7" t="b">
        <v>1</v>
      </c>
      <c r="F89" s="7" t="b">
        <v>1</v>
      </c>
      <c r="G89" s="7" t="b">
        <v>1</v>
      </c>
      <c r="H89" s="7" t="b">
        <v>1</v>
      </c>
      <c r="I89" s="8" t="b">
        <v>0</v>
      </c>
      <c r="J89" s="8" t="b">
        <v>0</v>
      </c>
      <c r="K89" s="9" t="b">
        <v>0</v>
      </c>
      <c r="L89" s="5">
        <f>COUNTIF(E89:H89,TRUE)/4</f>
        <v>1</v>
      </c>
      <c r="M89" s="5">
        <f>COUNTIF(I89:J89,TRUE)/2</f>
        <v>0</v>
      </c>
      <c r="N89" s="5">
        <f>COUNTIF(K89,TRUE)/1</f>
        <v>0</v>
      </c>
      <c r="O89" s="11"/>
    </row>
    <row r="90" spans="1:15" ht="26.45" customHeight="1" x14ac:dyDescent="0.2">
      <c r="A90" s="3" t="s">
        <v>118</v>
      </c>
      <c r="B90" s="4" t="s">
        <v>128</v>
      </c>
      <c r="C90" s="6"/>
      <c r="D90" s="4" t="str">
        <f>IFERROR(_xlfn.XLOOKUP($A90,'DIRECTORIO Y PENDIENTES'!$A$4:$A$17,'DIRECTORIO Y PENDIENTES'!$B$4:$B$17,""),"")</f>
        <v>Gerardo Rodríguez Miranda</v>
      </c>
      <c r="E90" s="7" t="b">
        <v>1</v>
      </c>
      <c r="F90" s="7" t="b">
        <v>1</v>
      </c>
      <c r="G90" s="7" t="b">
        <v>1</v>
      </c>
      <c r="H90" s="7" t="b">
        <v>1</v>
      </c>
      <c r="I90" s="8" t="b">
        <v>0</v>
      </c>
      <c r="J90" s="8" t="b">
        <v>0</v>
      </c>
      <c r="K90" s="9" t="b">
        <v>0</v>
      </c>
      <c r="L90" s="5">
        <f>COUNTIF(E90:H90,TRUE)/4</f>
        <v>1</v>
      </c>
      <c r="M90" s="5">
        <f>COUNTIF(I90:J90,TRUE)/2</f>
        <v>0</v>
      </c>
      <c r="N90" s="5">
        <f>COUNTIF(K90,TRUE)/1</f>
        <v>0</v>
      </c>
      <c r="O90" s="11"/>
    </row>
    <row r="91" spans="1:15" ht="26.45" customHeight="1" x14ac:dyDescent="0.2">
      <c r="A91" s="3" t="s">
        <v>118</v>
      </c>
      <c r="B91" s="4" t="s">
        <v>129</v>
      </c>
      <c r="C91" s="6"/>
      <c r="D91" s="4" t="str">
        <f>IFERROR(_xlfn.XLOOKUP($A91,'DIRECTORIO Y PENDIENTES'!$A$4:$A$17,'DIRECTORIO Y PENDIENTES'!$B$4:$B$17,""),"")</f>
        <v>Gerardo Rodríguez Miranda</v>
      </c>
      <c r="E91" s="7" t="b">
        <v>1</v>
      </c>
      <c r="F91" s="7" t="b">
        <v>1</v>
      </c>
      <c r="G91" s="7" t="b">
        <v>1</v>
      </c>
      <c r="H91" s="7" t="b">
        <v>1</v>
      </c>
      <c r="I91" s="8" t="b">
        <v>0</v>
      </c>
      <c r="J91" s="8" t="b">
        <v>0</v>
      </c>
      <c r="K91" s="9" t="b">
        <v>0</v>
      </c>
      <c r="L91" s="5">
        <f>COUNTIF(E91:H91,TRUE)/4</f>
        <v>1</v>
      </c>
      <c r="M91" s="5">
        <f>COUNTIF(I91:J91,TRUE)/2</f>
        <v>0</v>
      </c>
      <c r="N91" s="5">
        <f>COUNTIF(K91,TRUE)/1</f>
        <v>0</v>
      </c>
      <c r="O91" s="11"/>
    </row>
    <row r="92" spans="1:15" ht="26.45" customHeight="1" x14ac:dyDescent="0.2">
      <c r="A92" s="3" t="s">
        <v>118</v>
      </c>
      <c r="B92" s="4" t="s">
        <v>130</v>
      </c>
      <c r="C92" s="6"/>
      <c r="D92" s="4" t="str">
        <f>IFERROR(_xlfn.XLOOKUP($A92,'DIRECTORIO Y PENDIENTES'!$A$4:$A$17,'DIRECTORIO Y PENDIENTES'!$B$4:$B$17,""),"")</f>
        <v>Gerardo Rodríguez Miranda</v>
      </c>
      <c r="E92" s="7" t="b">
        <v>1</v>
      </c>
      <c r="F92" s="7" t="b">
        <v>1</v>
      </c>
      <c r="G92" s="7" t="b">
        <v>1</v>
      </c>
      <c r="H92" s="7" t="b">
        <v>1</v>
      </c>
      <c r="I92" s="8" t="b">
        <v>0</v>
      </c>
      <c r="J92" s="8" t="b">
        <v>0</v>
      </c>
      <c r="K92" s="9" t="b">
        <v>0</v>
      </c>
      <c r="L92" s="5">
        <f>COUNTIF(E92:H92,TRUE)/4</f>
        <v>1</v>
      </c>
      <c r="M92" s="5">
        <f>COUNTIF(I92:J92,TRUE)/2</f>
        <v>0</v>
      </c>
      <c r="N92" s="5">
        <f>COUNTIF(K92,TRUE)/1</f>
        <v>0</v>
      </c>
      <c r="O92" s="11"/>
    </row>
    <row r="93" spans="1:15" ht="26.45" customHeight="1" x14ac:dyDescent="0.2">
      <c r="A93" s="3" t="s">
        <v>118</v>
      </c>
      <c r="B93" s="4" t="s">
        <v>131</v>
      </c>
      <c r="C93" s="6"/>
      <c r="D93" s="4" t="str">
        <f>IFERROR(_xlfn.XLOOKUP($A93,'DIRECTORIO Y PENDIENTES'!$A$4:$A$17,'DIRECTORIO Y PENDIENTES'!$B$4:$B$17,""),"")</f>
        <v>Gerardo Rodríguez Miranda</v>
      </c>
      <c r="E93" s="7" t="b">
        <v>1</v>
      </c>
      <c r="F93" s="7" t="b">
        <v>1</v>
      </c>
      <c r="G93" s="7" t="b">
        <v>1</v>
      </c>
      <c r="H93" s="7" t="b">
        <v>1</v>
      </c>
      <c r="I93" s="8" t="b">
        <v>0</v>
      </c>
      <c r="J93" s="8" t="b">
        <v>0</v>
      </c>
      <c r="K93" s="9" t="b">
        <v>0</v>
      </c>
      <c r="L93" s="5">
        <f>COUNTIF(E93:H93,TRUE)/4</f>
        <v>1</v>
      </c>
      <c r="M93" s="5">
        <f>COUNTIF(I93:J93,TRUE)/2</f>
        <v>0</v>
      </c>
      <c r="N93" s="5">
        <f>COUNTIF(K93,TRUE)/1</f>
        <v>0</v>
      </c>
      <c r="O93" s="11"/>
    </row>
    <row r="94" spans="1:15" ht="26.45" customHeight="1" x14ac:dyDescent="0.2">
      <c r="A94" s="3" t="s">
        <v>118</v>
      </c>
      <c r="B94" s="4" t="s">
        <v>132</v>
      </c>
      <c r="C94" s="6"/>
      <c r="D94" s="4" t="str">
        <f>IFERROR(_xlfn.XLOOKUP($A94,'DIRECTORIO Y PENDIENTES'!$A$4:$A$17,'DIRECTORIO Y PENDIENTES'!$B$4:$B$17,""),"")</f>
        <v>Gerardo Rodríguez Miranda</v>
      </c>
      <c r="E94" s="7" t="b">
        <v>1</v>
      </c>
      <c r="F94" s="7" t="b">
        <v>1</v>
      </c>
      <c r="G94" s="7" t="b">
        <v>1</v>
      </c>
      <c r="H94" s="7" t="b">
        <v>1</v>
      </c>
      <c r="I94" s="8" t="b">
        <v>0</v>
      </c>
      <c r="J94" s="8" t="b">
        <v>0</v>
      </c>
      <c r="K94" s="9" t="b">
        <v>0</v>
      </c>
      <c r="L94" s="5">
        <f>COUNTIF(E94:H94,TRUE)/4</f>
        <v>1</v>
      </c>
      <c r="M94" s="5">
        <f>COUNTIF(I94:J94,TRUE)/2</f>
        <v>0</v>
      </c>
      <c r="N94" s="5">
        <f>COUNTIF(K94,TRUE)/1</f>
        <v>0</v>
      </c>
      <c r="O94" s="11"/>
    </row>
    <row r="95" spans="1:15" ht="26.45" customHeight="1" x14ac:dyDescent="0.2">
      <c r="A95" s="3" t="s">
        <v>71</v>
      </c>
      <c r="B95" s="4" t="s">
        <v>72</v>
      </c>
      <c r="C95" s="6"/>
      <c r="D95" s="4" t="str">
        <f>IFERROR(_xlfn.XLOOKUP($A95,'DIRECTORIO Y PENDIENTES'!$A$4:$A$17,'DIRECTORIO Y PENDIENTES'!$B$4:$B$17,""),"")</f>
        <v>Mirna Solis</v>
      </c>
      <c r="E95" s="7" t="b">
        <v>0</v>
      </c>
      <c r="F95" s="7" t="b">
        <v>0</v>
      </c>
      <c r="G95" s="7" t="b">
        <v>0</v>
      </c>
      <c r="H95" s="7" t="b">
        <v>0</v>
      </c>
      <c r="I95" s="8" t="b">
        <v>0</v>
      </c>
      <c r="J95" s="8" t="b">
        <v>0</v>
      </c>
      <c r="K95" s="9" t="b">
        <v>0</v>
      </c>
      <c r="L95" s="5">
        <f>COUNTIF(E95:H95,TRUE)/4</f>
        <v>0</v>
      </c>
      <c r="M95" s="5">
        <f>COUNTIF(I95:J95,TRUE)/2</f>
        <v>0</v>
      </c>
      <c r="N95" s="5">
        <f>COUNTIF(K95,TRUE)/1</f>
        <v>0</v>
      </c>
      <c r="O95" s="11"/>
    </row>
    <row r="96" spans="1:15" ht="26.45" customHeight="1" x14ac:dyDescent="0.2">
      <c r="A96" s="3" t="s">
        <v>71</v>
      </c>
      <c r="B96" s="4" t="s">
        <v>73</v>
      </c>
      <c r="C96" s="6">
        <v>50</v>
      </c>
      <c r="D96" s="4" t="str">
        <f>IFERROR(_xlfn.XLOOKUP($A96,'DIRECTORIO Y PENDIENTES'!$A$4:$A$17,'DIRECTORIO Y PENDIENTES'!$B$4:$B$17,""),"")</f>
        <v>Mirna Solis</v>
      </c>
      <c r="E96" s="7" t="b">
        <v>1</v>
      </c>
      <c r="F96" s="7" t="b">
        <v>1</v>
      </c>
      <c r="G96" s="7" t="b">
        <v>0</v>
      </c>
      <c r="H96" s="7" t="b">
        <v>0</v>
      </c>
      <c r="I96" s="8" t="b">
        <v>0</v>
      </c>
      <c r="J96" s="8" t="b">
        <v>0</v>
      </c>
      <c r="K96" s="9" t="b">
        <v>0</v>
      </c>
      <c r="L96" s="5">
        <f>COUNTIF(E96:H96,TRUE)/4</f>
        <v>0.5</v>
      </c>
      <c r="M96" s="5">
        <f>COUNTIF(I96:J96,TRUE)/2</f>
        <v>0</v>
      </c>
      <c r="N96" s="5">
        <f>COUNTIF(K96,TRUE)/1</f>
        <v>0</v>
      </c>
      <c r="O96" s="11"/>
    </row>
    <row r="97" spans="1:15" ht="26.45" customHeight="1" x14ac:dyDescent="0.2">
      <c r="A97" s="3" t="s">
        <v>71</v>
      </c>
      <c r="B97" s="4" t="s">
        <v>74</v>
      </c>
      <c r="C97" s="6">
        <v>50</v>
      </c>
      <c r="D97" s="4" t="str">
        <f>IFERROR(_xlfn.XLOOKUP($A97,'DIRECTORIO Y PENDIENTES'!$A$4:$A$17,'DIRECTORIO Y PENDIENTES'!$B$4:$B$17,""),"")</f>
        <v>Mirna Solis</v>
      </c>
      <c r="E97" s="7" t="b">
        <v>1</v>
      </c>
      <c r="F97" s="7" t="b">
        <v>1</v>
      </c>
      <c r="G97" s="7" t="b">
        <v>0</v>
      </c>
      <c r="H97" s="7" t="b">
        <v>0</v>
      </c>
      <c r="I97" s="8" t="b">
        <v>0</v>
      </c>
      <c r="J97" s="8" t="b">
        <v>0</v>
      </c>
      <c r="K97" s="9" t="b">
        <v>0</v>
      </c>
      <c r="L97" s="5">
        <f>COUNTIF(E97:H97,TRUE)/4</f>
        <v>0.5</v>
      </c>
      <c r="M97" s="5">
        <f>COUNTIF(I97:J97,TRUE)/2</f>
        <v>0</v>
      </c>
      <c r="N97" s="5">
        <f>COUNTIF(K97,TRUE)/1</f>
        <v>0</v>
      </c>
      <c r="O97" s="11"/>
    </row>
    <row r="98" spans="1:15" ht="26.45" customHeight="1" x14ac:dyDescent="0.2">
      <c r="A98" s="3" t="s">
        <v>71</v>
      </c>
      <c r="B98" s="4" t="s">
        <v>75</v>
      </c>
      <c r="C98" s="6"/>
      <c r="D98" s="4" t="str">
        <f>IFERROR(_xlfn.XLOOKUP($A98,'DIRECTORIO Y PENDIENTES'!$A$4:$A$17,'DIRECTORIO Y PENDIENTES'!$B$4:$B$17,""),"")</f>
        <v>Mirna Solis</v>
      </c>
      <c r="E98" s="7" t="b">
        <v>0</v>
      </c>
      <c r="F98" s="7" t="b">
        <v>0</v>
      </c>
      <c r="G98" s="7" t="b">
        <v>0</v>
      </c>
      <c r="H98" s="7" t="b">
        <v>0</v>
      </c>
      <c r="I98" s="8" t="b">
        <v>0</v>
      </c>
      <c r="J98" s="8" t="b">
        <v>0</v>
      </c>
      <c r="K98" s="9" t="b">
        <v>0</v>
      </c>
      <c r="L98" s="5">
        <f>COUNTIF(E98:H98,TRUE)/4</f>
        <v>0</v>
      </c>
      <c r="M98" s="5">
        <f>COUNTIF(I98:J98,TRUE)/2</f>
        <v>0</v>
      </c>
      <c r="N98" s="5">
        <f>COUNTIF(K98,TRUE)/1</f>
        <v>0</v>
      </c>
      <c r="O98" s="11"/>
    </row>
    <row r="99" spans="1:15" ht="26.45" customHeight="1" x14ac:dyDescent="0.2">
      <c r="A99" s="3" t="s">
        <v>71</v>
      </c>
      <c r="B99" s="4" t="s">
        <v>76</v>
      </c>
      <c r="C99" s="6"/>
      <c r="D99" s="4" t="str">
        <f>IFERROR(_xlfn.XLOOKUP($A99,'DIRECTORIO Y PENDIENTES'!$A$4:$A$17,'DIRECTORIO Y PENDIENTES'!$B$4:$B$17,""),"")</f>
        <v>Mirna Solis</v>
      </c>
      <c r="E99" s="7" t="b">
        <v>0</v>
      </c>
      <c r="F99" s="7" t="b">
        <v>0</v>
      </c>
      <c r="G99" s="7" t="b">
        <v>0</v>
      </c>
      <c r="H99" s="7" t="b">
        <v>0</v>
      </c>
      <c r="I99" s="8" t="b">
        <v>0</v>
      </c>
      <c r="J99" s="8" t="b">
        <v>0</v>
      </c>
      <c r="K99" s="9" t="b">
        <v>0</v>
      </c>
      <c r="L99" s="5">
        <f>COUNTIF(E99:H99,TRUE)/4</f>
        <v>0</v>
      </c>
      <c r="M99" s="5">
        <f>COUNTIF(I99:J99,TRUE)/2</f>
        <v>0</v>
      </c>
      <c r="N99" s="5">
        <f>COUNTIF(K99,TRUE)/1</f>
        <v>0</v>
      </c>
      <c r="O99" s="11"/>
    </row>
    <row r="100" spans="1:15" ht="26.45" customHeight="1" x14ac:dyDescent="0.2">
      <c r="A100" s="3" t="s">
        <v>71</v>
      </c>
      <c r="B100" s="4" t="s">
        <v>77</v>
      </c>
      <c r="C100" s="6"/>
      <c r="D100" s="4" t="str">
        <f>IFERROR(_xlfn.XLOOKUP($A100,'DIRECTORIO Y PENDIENTES'!$A$4:$A$17,'DIRECTORIO Y PENDIENTES'!$B$4:$B$17,""),"")</f>
        <v>Mirna Solis</v>
      </c>
      <c r="E100" s="7" t="b">
        <v>0</v>
      </c>
      <c r="F100" s="7" t="b">
        <v>0</v>
      </c>
      <c r="G100" s="7" t="b">
        <v>0</v>
      </c>
      <c r="H100" s="7" t="b">
        <v>0</v>
      </c>
      <c r="I100" s="8" t="b">
        <v>0</v>
      </c>
      <c r="J100" s="8" t="b">
        <v>0</v>
      </c>
      <c r="K100" s="9" t="b">
        <v>0</v>
      </c>
      <c r="L100" s="5">
        <f>COUNTIF(E100:H100,TRUE)/4</f>
        <v>0</v>
      </c>
      <c r="M100" s="5">
        <f>COUNTIF(I100:J100,TRUE)/2</f>
        <v>0</v>
      </c>
      <c r="N100" s="5">
        <f>COUNTIF(K100,TRUE)/1</f>
        <v>0</v>
      </c>
      <c r="O100" s="11"/>
    </row>
    <row r="101" spans="1:15" ht="26.45" customHeight="1" x14ac:dyDescent="0.2">
      <c r="A101" s="3" t="s">
        <v>71</v>
      </c>
      <c r="B101" s="4" t="s">
        <v>78</v>
      </c>
      <c r="C101" s="6"/>
      <c r="D101" s="4" t="str">
        <f>IFERROR(_xlfn.XLOOKUP($A101,'DIRECTORIO Y PENDIENTES'!$A$4:$A$17,'DIRECTORIO Y PENDIENTES'!$B$4:$B$17,""),"")</f>
        <v>Mirna Solis</v>
      </c>
      <c r="E101" s="7" t="b">
        <v>0</v>
      </c>
      <c r="F101" s="7" t="b">
        <v>0</v>
      </c>
      <c r="G101" s="7" t="b">
        <v>0</v>
      </c>
      <c r="H101" s="7" t="b">
        <v>0</v>
      </c>
      <c r="I101" s="8" t="b">
        <v>0</v>
      </c>
      <c r="J101" s="8" t="b">
        <v>0</v>
      </c>
      <c r="K101" s="9" t="b">
        <v>0</v>
      </c>
      <c r="L101" s="5">
        <f>COUNTIF(E101:H101,TRUE)/4</f>
        <v>0</v>
      </c>
      <c r="M101" s="5">
        <f>COUNTIF(I101:J101,TRUE)/2</f>
        <v>0</v>
      </c>
      <c r="N101" s="5">
        <f>COUNTIF(K101,TRUE)/1</f>
        <v>0</v>
      </c>
      <c r="O101" s="11"/>
    </row>
    <row r="102" spans="1:15" ht="26.45" customHeight="1" x14ac:dyDescent="0.2">
      <c r="A102" s="3" t="s">
        <v>79</v>
      </c>
      <c r="B102" s="4" t="s">
        <v>80</v>
      </c>
      <c r="C102" s="6"/>
      <c r="D102" s="4" t="str">
        <f>IFERROR(_xlfn.XLOOKUP($A102,'DIRECTORIO Y PENDIENTES'!$A$4:$A$17,'DIRECTORIO Y PENDIENTES'!$B$4:$B$17,""),"")</f>
        <v>Mirna Solis</v>
      </c>
      <c r="E102" s="7" t="b">
        <v>0</v>
      </c>
      <c r="F102" s="7" t="b">
        <v>0</v>
      </c>
      <c r="G102" s="7" t="b">
        <v>0</v>
      </c>
      <c r="H102" s="7" t="b">
        <v>0</v>
      </c>
      <c r="I102" s="8" t="b">
        <v>0</v>
      </c>
      <c r="J102" s="8" t="b">
        <v>0</v>
      </c>
      <c r="K102" s="9" t="b">
        <v>0</v>
      </c>
      <c r="L102" s="5">
        <f>COUNTIF(E102:H102,TRUE)/4</f>
        <v>0</v>
      </c>
      <c r="M102" s="5">
        <f>COUNTIF(I102:J102,TRUE)/2</f>
        <v>0</v>
      </c>
      <c r="N102" s="5">
        <f>COUNTIF(K102,TRUE)/1</f>
        <v>0</v>
      </c>
      <c r="O102" s="11"/>
    </row>
    <row r="103" spans="1:15" ht="26.45" customHeight="1" x14ac:dyDescent="0.2">
      <c r="A103" s="3" t="s">
        <v>79</v>
      </c>
      <c r="B103" s="4" t="s">
        <v>81</v>
      </c>
      <c r="C103" s="6"/>
      <c r="D103" s="4" t="str">
        <f>IFERROR(_xlfn.XLOOKUP($A103,'DIRECTORIO Y PENDIENTES'!$A$4:$A$17,'DIRECTORIO Y PENDIENTES'!$B$4:$B$17,""),"")</f>
        <v>Mirna Solis</v>
      </c>
      <c r="E103" s="7" t="b">
        <v>0</v>
      </c>
      <c r="F103" s="7" t="b">
        <v>0</v>
      </c>
      <c r="G103" s="7" t="b">
        <v>0</v>
      </c>
      <c r="H103" s="7" t="b">
        <v>0</v>
      </c>
      <c r="I103" s="8" t="b">
        <v>0</v>
      </c>
      <c r="J103" s="8" t="b">
        <v>0</v>
      </c>
      <c r="K103" s="9" t="b">
        <v>0</v>
      </c>
      <c r="L103" s="5">
        <f>COUNTIF(E103:H103,TRUE)/4</f>
        <v>0</v>
      </c>
      <c r="M103" s="5">
        <f>COUNTIF(I103:J103,TRUE)/2</f>
        <v>0</v>
      </c>
      <c r="N103" s="5">
        <f>COUNTIF(K103,TRUE)/1</f>
        <v>0</v>
      </c>
      <c r="O103" s="11"/>
    </row>
    <row r="104" spans="1:15" ht="26.45" customHeight="1" x14ac:dyDescent="0.2">
      <c r="A104" s="3" t="s">
        <v>79</v>
      </c>
      <c r="B104" s="4" t="s">
        <v>82</v>
      </c>
      <c r="C104" s="6"/>
      <c r="D104" s="4" t="str">
        <f>IFERROR(_xlfn.XLOOKUP($A104,'DIRECTORIO Y PENDIENTES'!$A$4:$A$17,'DIRECTORIO Y PENDIENTES'!$B$4:$B$17,""),"")</f>
        <v>Mirna Solis</v>
      </c>
      <c r="E104" s="7" t="b">
        <v>1</v>
      </c>
      <c r="F104" s="7" t="b">
        <v>1</v>
      </c>
      <c r="G104" s="7" t="b">
        <v>0</v>
      </c>
      <c r="H104" s="7" t="b">
        <v>0</v>
      </c>
      <c r="I104" s="8" t="b">
        <v>0</v>
      </c>
      <c r="J104" s="8" t="b">
        <v>0</v>
      </c>
      <c r="K104" s="9" t="b">
        <v>0</v>
      </c>
      <c r="L104" s="5">
        <f>COUNTIF(E104:H104,TRUE)/4</f>
        <v>0.5</v>
      </c>
      <c r="M104" s="5">
        <f>COUNTIF(I104:J104,TRUE)/2</f>
        <v>0</v>
      </c>
      <c r="N104" s="5">
        <f>COUNTIF(K104,TRUE)/1</f>
        <v>0</v>
      </c>
      <c r="O104" s="11"/>
    </row>
    <row r="105" spans="1:15" ht="26.45" customHeight="1" x14ac:dyDescent="0.2">
      <c r="A105" s="3" t="s">
        <v>79</v>
      </c>
      <c r="B105" s="4" t="s">
        <v>83</v>
      </c>
      <c r="C105" s="6"/>
      <c r="D105" s="4" t="str">
        <f>IFERROR(_xlfn.XLOOKUP($A105,'DIRECTORIO Y PENDIENTES'!$A$4:$A$17,'DIRECTORIO Y PENDIENTES'!$B$4:$B$17,""),"")</f>
        <v>Mirna Solis</v>
      </c>
      <c r="E105" s="7" t="b">
        <v>1</v>
      </c>
      <c r="F105" s="7" t="b">
        <v>1</v>
      </c>
      <c r="G105" s="7" t="b">
        <v>1</v>
      </c>
      <c r="H105" s="7" t="b">
        <v>1</v>
      </c>
      <c r="I105" s="8" t="b">
        <v>0</v>
      </c>
      <c r="J105" s="8" t="b">
        <v>0</v>
      </c>
      <c r="K105" s="9" t="b">
        <v>0</v>
      </c>
      <c r="L105" s="5">
        <f>COUNTIF(E105:H105,TRUE)/4</f>
        <v>1</v>
      </c>
      <c r="M105" s="5">
        <f>COUNTIF(I105:J105,TRUE)/2</f>
        <v>0</v>
      </c>
      <c r="N105" s="5">
        <f>COUNTIF(K105,TRUE)/1</f>
        <v>0</v>
      </c>
      <c r="O105" s="11"/>
    </row>
    <row r="106" spans="1:15" ht="26.45" customHeight="1" x14ac:dyDescent="0.2">
      <c r="A106" s="3" t="s">
        <v>133</v>
      </c>
      <c r="B106" s="4" t="s">
        <v>134</v>
      </c>
      <c r="C106" s="6"/>
      <c r="D106" s="4" t="str">
        <f>IFERROR(_xlfn.XLOOKUP($A106,'DIRECTORIO Y PENDIENTES'!$A$4:$A$17,'DIRECTORIO Y PENDIENTES'!$B$4:$B$17,""),"")</f>
        <v>Pavel Sanchez</v>
      </c>
      <c r="E106" s="7" t="b">
        <v>0</v>
      </c>
      <c r="F106" s="7" t="b">
        <v>0</v>
      </c>
      <c r="G106" s="7" t="b">
        <v>0</v>
      </c>
      <c r="H106" s="7" t="b">
        <v>0</v>
      </c>
      <c r="I106" s="8" t="b">
        <v>0</v>
      </c>
      <c r="J106" s="8" t="b">
        <v>0</v>
      </c>
      <c r="K106" s="9" t="b">
        <v>0</v>
      </c>
      <c r="L106" s="5">
        <f>COUNTIF(E106:H106,TRUE)/4</f>
        <v>0</v>
      </c>
      <c r="M106" s="5">
        <f>COUNTIF(I106:J106,TRUE)/2</f>
        <v>0</v>
      </c>
      <c r="N106" s="5">
        <f>COUNTIF(K106,TRUE)/1</f>
        <v>0</v>
      </c>
      <c r="O106" s="11"/>
    </row>
    <row r="107" spans="1:15" ht="26.45" customHeight="1" x14ac:dyDescent="0.2">
      <c r="A107" s="3" t="s">
        <v>133</v>
      </c>
      <c r="B107" s="4" t="s">
        <v>135</v>
      </c>
      <c r="C107" s="6"/>
      <c r="D107" s="4" t="str">
        <f>IFERROR(_xlfn.XLOOKUP($A107,'DIRECTORIO Y PENDIENTES'!$A$4:$A$17,'DIRECTORIO Y PENDIENTES'!$B$4:$B$17,""),"")</f>
        <v>Pavel Sanchez</v>
      </c>
      <c r="E107" s="7" t="b">
        <v>0</v>
      </c>
      <c r="F107" s="7" t="b">
        <v>0</v>
      </c>
      <c r="G107" s="7" t="b">
        <v>0</v>
      </c>
      <c r="H107" s="7" t="b">
        <v>0</v>
      </c>
      <c r="I107" s="8" t="b">
        <v>0</v>
      </c>
      <c r="J107" s="8" t="b">
        <v>0</v>
      </c>
      <c r="K107" s="9" t="b">
        <v>0</v>
      </c>
      <c r="L107" s="5">
        <f>COUNTIF(E107:H107,TRUE)/4</f>
        <v>0</v>
      </c>
      <c r="M107" s="5">
        <f>COUNTIF(I107:J107,TRUE)/2</f>
        <v>0</v>
      </c>
      <c r="N107" s="5">
        <f>COUNTIF(K107,TRUE)/1</f>
        <v>0</v>
      </c>
      <c r="O107" s="11"/>
    </row>
    <row r="108" spans="1:15" ht="26.45" customHeight="1" x14ac:dyDescent="0.2">
      <c r="A108" s="3" t="s">
        <v>133</v>
      </c>
      <c r="B108" s="4" t="s">
        <v>136</v>
      </c>
      <c r="C108" s="6"/>
      <c r="D108" s="4" t="str">
        <f>IFERROR(_xlfn.XLOOKUP($A108,'DIRECTORIO Y PENDIENTES'!$A$4:$A$17,'DIRECTORIO Y PENDIENTES'!$B$4:$B$17,""),"")</f>
        <v>Pavel Sanchez</v>
      </c>
      <c r="E108" s="7" t="b">
        <v>0</v>
      </c>
      <c r="F108" s="7" t="b">
        <v>0</v>
      </c>
      <c r="G108" s="7" t="b">
        <v>0</v>
      </c>
      <c r="H108" s="7" t="b">
        <v>0</v>
      </c>
      <c r="I108" s="8" t="b">
        <v>0</v>
      </c>
      <c r="J108" s="8" t="b">
        <v>0</v>
      </c>
      <c r="K108" s="9" t="b">
        <v>0</v>
      </c>
      <c r="L108" s="5">
        <f>COUNTIF(E108:H108,TRUE)/4</f>
        <v>0</v>
      </c>
      <c r="M108" s="5">
        <f>COUNTIF(I108:J108,TRUE)/2</f>
        <v>0</v>
      </c>
      <c r="N108" s="5">
        <f>COUNTIF(K108,TRUE)/1</f>
        <v>0</v>
      </c>
      <c r="O108" s="11"/>
    </row>
  </sheetData>
  <sheetProtection sort="0" autoFilter="0"/>
  <autoFilter ref="A3:O108" xr:uid="{00000000-0001-0000-0100-000000000000}">
    <sortState xmlns:xlrd2="http://schemas.microsoft.com/office/spreadsheetml/2017/richdata2" ref="A4:O108">
      <sortCondition ref="A3:A108"/>
    </sortState>
  </autoFilter>
  <mergeCells count="5">
    <mergeCell ref="A1:O1"/>
    <mergeCell ref="A2:D2"/>
    <mergeCell ref="E2:H2"/>
    <mergeCell ref="I2:J2"/>
    <mergeCell ref="L2:O2"/>
  </mergeCells>
  <conditionalFormatting sqref="E4:K108">
    <cfRule type="cellIs" dxfId="12" priority="1" operator="equal">
      <formula>"✔"</formula>
    </cfRule>
  </conditionalFormatting>
  <conditionalFormatting sqref="L4:N108">
    <cfRule type="colorScale" priority="8">
      <colorScale>
        <cfvo type="formula" val="0"/>
        <cfvo type="formula" val="0.5"/>
        <cfvo type="formula" val="1"/>
        <color rgb="FFFFC7CE"/>
        <color rgb="FFFFEB9C"/>
        <color rgb="FFC6EFCE"/>
      </colorScale>
    </cfRule>
  </conditionalFormatting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AC2E6B-C574-4FC8-B094-C7F6B87DAFB8}">
          <x14:formula1>
            <xm:f>'DIRECTORIO Y PENDIENTES'!$B$3:$B$17</xm:f>
          </x14:formula1>
          <xm:sqref>D4:D111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showGridLines="0" workbookViewId="0">
      <pane ySplit="5" topLeftCell="A20" activePane="bottomLeft" state="frozen"/>
      <selection pane="bottomLeft" activeCell="F23" sqref="F23"/>
    </sheetView>
  </sheetViews>
  <sheetFormatPr defaultColWidth="14.390625" defaultRowHeight="15" x14ac:dyDescent="0.2"/>
  <cols>
    <col min="1" max="1" width="4.9765625" customWidth="1"/>
    <col min="2" max="2" width="20.04296875" customWidth="1"/>
    <col min="3" max="3" width="50.04296875" customWidth="1"/>
    <col min="4" max="4" width="20.04296875" customWidth="1"/>
    <col min="5" max="5" width="25.421875" bestFit="1" customWidth="1"/>
    <col min="6" max="6" width="13.98828125" customWidth="1"/>
    <col min="7" max="26" width="8.609375" customWidth="1"/>
  </cols>
  <sheetData>
    <row r="1" spans="1:6" ht="26.45" customHeight="1" x14ac:dyDescent="0.2">
      <c r="A1" s="27" t="s">
        <v>146</v>
      </c>
      <c r="B1" s="28"/>
      <c r="C1" s="28"/>
      <c r="D1" s="28"/>
      <c r="E1" s="28"/>
      <c r="F1" s="28"/>
    </row>
    <row r="2" spans="1:6" ht="26.45" customHeight="1" x14ac:dyDescent="0.2">
      <c r="A2" s="41" t="s">
        <v>147</v>
      </c>
      <c r="B2" s="28"/>
      <c r="C2" s="28"/>
      <c r="D2" s="28"/>
      <c r="E2" s="28"/>
      <c r="F2" s="28"/>
    </row>
    <row r="3" spans="1:6" ht="26.45" customHeight="1" x14ac:dyDescent="0.2">
      <c r="A3" s="42" t="s">
        <v>148</v>
      </c>
      <c r="B3" s="34"/>
      <c r="C3" s="12">
        <f>IFERROR(COUNTIF(F6:F27,"Hecho")/COUNT(A6:A27),0)</f>
        <v>5.8823529411764705E-2</v>
      </c>
      <c r="D3" s="26"/>
      <c r="E3" s="26"/>
      <c r="F3" s="26"/>
    </row>
    <row r="4" spans="1:6" ht="26.45" customHeight="1" x14ac:dyDescent="0.2">
      <c r="A4" s="26"/>
      <c r="B4" s="26"/>
      <c r="C4" s="26"/>
      <c r="D4" s="26"/>
      <c r="E4" s="26"/>
      <c r="F4" s="26"/>
    </row>
    <row r="5" spans="1:6" ht="26.45" customHeight="1" x14ac:dyDescent="0.2">
      <c r="A5" s="13" t="s">
        <v>149</v>
      </c>
      <c r="B5" s="13" t="s">
        <v>150</v>
      </c>
      <c r="C5" s="13" t="s">
        <v>151</v>
      </c>
      <c r="D5" s="13" t="s">
        <v>24</v>
      </c>
      <c r="E5" s="13" t="s">
        <v>152</v>
      </c>
      <c r="F5" s="13" t="s">
        <v>153</v>
      </c>
    </row>
    <row r="6" spans="1:6" ht="26.45" customHeight="1" x14ac:dyDescent="0.2">
      <c r="A6" s="37" t="s">
        <v>154</v>
      </c>
      <c r="B6" s="38"/>
      <c r="C6" s="38"/>
      <c r="D6" s="38"/>
      <c r="E6" s="38"/>
      <c r="F6" s="43"/>
    </row>
    <row r="7" spans="1:6" ht="26.45" customHeight="1" x14ac:dyDescent="0.2">
      <c r="A7" s="3">
        <v>1</v>
      </c>
      <c r="B7" s="4" t="s">
        <v>155</v>
      </c>
      <c r="C7" s="4" t="s">
        <v>156</v>
      </c>
      <c r="D7" s="11" t="s">
        <v>262</v>
      </c>
      <c r="E7" s="25">
        <v>46232</v>
      </c>
      <c r="F7" s="6" t="s">
        <v>157</v>
      </c>
    </row>
    <row r="8" spans="1:6" ht="26.45" customHeight="1" x14ac:dyDescent="0.2">
      <c r="A8" s="3">
        <v>2</v>
      </c>
      <c r="B8" s="4" t="s">
        <v>155</v>
      </c>
      <c r="C8" s="4" t="s">
        <v>158</v>
      </c>
      <c r="D8" s="11" t="s">
        <v>262</v>
      </c>
      <c r="E8" s="25">
        <v>46232</v>
      </c>
      <c r="F8" s="6" t="s">
        <v>157</v>
      </c>
    </row>
    <row r="9" spans="1:6" ht="26.45" customHeight="1" x14ac:dyDescent="0.2">
      <c r="A9" s="3">
        <v>3</v>
      </c>
      <c r="B9" s="4" t="s">
        <v>155</v>
      </c>
      <c r="C9" s="4" t="s">
        <v>159</v>
      </c>
      <c r="D9" s="11" t="s">
        <v>262</v>
      </c>
      <c r="E9" s="25">
        <v>46232</v>
      </c>
      <c r="F9" s="6" t="s">
        <v>157</v>
      </c>
    </row>
    <row r="10" spans="1:6" ht="26.45" customHeight="1" x14ac:dyDescent="0.2">
      <c r="A10" s="37" t="s">
        <v>160</v>
      </c>
      <c r="B10" s="38"/>
      <c r="C10" s="38"/>
      <c r="D10" s="39"/>
      <c r="E10" s="39"/>
      <c r="F10" s="40"/>
    </row>
    <row r="11" spans="1:6" ht="26.45" customHeight="1" x14ac:dyDescent="0.2">
      <c r="A11" s="3">
        <v>4</v>
      </c>
      <c r="B11" s="4" t="s">
        <v>161</v>
      </c>
      <c r="C11" s="4" t="s">
        <v>162</v>
      </c>
      <c r="D11" s="11" t="s">
        <v>231</v>
      </c>
      <c r="E11" s="25">
        <v>46232</v>
      </c>
      <c r="F11" s="6" t="s">
        <v>157</v>
      </c>
    </row>
    <row r="12" spans="1:6" ht="26.45" customHeight="1" x14ac:dyDescent="0.2">
      <c r="A12" s="3">
        <v>5</v>
      </c>
      <c r="B12" s="4" t="s">
        <v>161</v>
      </c>
      <c r="C12" s="4" t="s">
        <v>163</v>
      </c>
      <c r="D12" s="11" t="s">
        <v>232</v>
      </c>
      <c r="E12" s="25">
        <v>46232</v>
      </c>
      <c r="F12" s="6" t="s">
        <v>240</v>
      </c>
    </row>
    <row r="13" spans="1:6" ht="26.45" customHeight="1" x14ac:dyDescent="0.2">
      <c r="A13" s="3">
        <v>6</v>
      </c>
      <c r="B13" s="4" t="s">
        <v>161</v>
      </c>
      <c r="C13" s="4" t="s">
        <v>164</v>
      </c>
      <c r="D13" s="11" t="s">
        <v>232</v>
      </c>
      <c r="E13" s="25">
        <v>46232</v>
      </c>
      <c r="F13" s="6" t="s">
        <v>157</v>
      </c>
    </row>
    <row r="14" spans="1:6" ht="26.45" customHeight="1" x14ac:dyDescent="0.2">
      <c r="A14" s="3">
        <v>7</v>
      </c>
      <c r="B14" s="4" t="s">
        <v>161</v>
      </c>
      <c r="C14" s="4" t="s">
        <v>165</v>
      </c>
      <c r="D14" s="11" t="s">
        <v>262</v>
      </c>
      <c r="E14" s="25">
        <v>46232</v>
      </c>
      <c r="F14" s="6" t="s">
        <v>157</v>
      </c>
    </row>
    <row r="15" spans="1:6" ht="26.45" customHeight="1" x14ac:dyDescent="0.2">
      <c r="A15" s="3">
        <v>8</v>
      </c>
      <c r="B15" s="4" t="s">
        <v>161</v>
      </c>
      <c r="C15" s="4" t="s">
        <v>166</v>
      </c>
      <c r="D15" s="11" t="s">
        <v>237</v>
      </c>
      <c r="E15" s="25">
        <v>46232</v>
      </c>
      <c r="F15" s="6" t="s">
        <v>157</v>
      </c>
    </row>
    <row r="16" spans="1:6" ht="26.45" customHeight="1" x14ac:dyDescent="0.2">
      <c r="A16" s="37" t="s">
        <v>167</v>
      </c>
      <c r="B16" s="38"/>
      <c r="C16" s="38"/>
      <c r="D16" s="39"/>
      <c r="E16" s="39"/>
      <c r="F16" s="40"/>
    </row>
    <row r="17" spans="1:6" ht="26.45" customHeight="1" x14ac:dyDescent="0.2">
      <c r="A17" s="3">
        <v>9</v>
      </c>
      <c r="B17" s="4" t="s">
        <v>71</v>
      </c>
      <c r="C17" s="4" t="s">
        <v>168</v>
      </c>
      <c r="D17" s="11" t="s">
        <v>233</v>
      </c>
      <c r="E17" s="25">
        <v>46232</v>
      </c>
      <c r="F17" s="6" t="s">
        <v>157</v>
      </c>
    </row>
    <row r="18" spans="1:6" ht="26.45" customHeight="1" x14ac:dyDescent="0.2">
      <c r="A18" s="3">
        <v>10</v>
      </c>
      <c r="B18" s="4" t="s">
        <v>71</v>
      </c>
      <c r="C18" s="4" t="s">
        <v>169</v>
      </c>
      <c r="D18" s="11" t="s">
        <v>262</v>
      </c>
      <c r="E18" s="25">
        <v>46232</v>
      </c>
      <c r="F18" s="6" t="s">
        <v>157</v>
      </c>
    </row>
    <row r="19" spans="1:6" ht="26.45" customHeight="1" x14ac:dyDescent="0.2">
      <c r="A19" s="3">
        <v>11</v>
      </c>
      <c r="B19" s="4" t="s">
        <v>170</v>
      </c>
      <c r="C19" s="4" t="s">
        <v>171</v>
      </c>
      <c r="D19" s="11" t="s">
        <v>234</v>
      </c>
      <c r="E19" s="25">
        <v>46232</v>
      </c>
      <c r="F19" s="6" t="s">
        <v>157</v>
      </c>
    </row>
    <row r="20" spans="1:6" ht="26.45" customHeight="1" x14ac:dyDescent="0.2">
      <c r="A20" s="37" t="s">
        <v>172</v>
      </c>
      <c r="B20" s="38"/>
      <c r="C20" s="38"/>
      <c r="D20" s="39"/>
      <c r="E20" s="39"/>
      <c r="F20" s="40"/>
    </row>
    <row r="21" spans="1:6" ht="26.45" customHeight="1" x14ac:dyDescent="0.2">
      <c r="A21" s="3">
        <v>12</v>
      </c>
      <c r="B21" s="4" t="s">
        <v>173</v>
      </c>
      <c r="C21" s="4" t="s">
        <v>174</v>
      </c>
      <c r="D21" s="11" t="s">
        <v>262</v>
      </c>
      <c r="E21" s="25">
        <v>46232</v>
      </c>
      <c r="F21" s="6" t="s">
        <v>157</v>
      </c>
    </row>
    <row r="22" spans="1:6" ht="26.45" customHeight="1" x14ac:dyDescent="0.2">
      <c r="A22" s="3">
        <v>13</v>
      </c>
      <c r="B22" s="4" t="s">
        <v>114</v>
      </c>
      <c r="C22" s="4" t="s">
        <v>175</v>
      </c>
      <c r="D22" s="11" t="s">
        <v>236</v>
      </c>
      <c r="E22" s="25">
        <v>46232</v>
      </c>
      <c r="F22" s="6" t="s">
        <v>157</v>
      </c>
    </row>
    <row r="23" spans="1:6" ht="26.45" customHeight="1" x14ac:dyDescent="0.2">
      <c r="A23" s="3">
        <v>14</v>
      </c>
      <c r="B23" s="4" t="s">
        <v>176</v>
      </c>
      <c r="C23" s="4" t="s">
        <v>177</v>
      </c>
      <c r="D23" s="11" t="s">
        <v>232</v>
      </c>
      <c r="E23" s="25">
        <v>46232</v>
      </c>
      <c r="F23" s="6" t="s">
        <v>157</v>
      </c>
    </row>
    <row r="24" spans="1:6" ht="26.45" customHeight="1" x14ac:dyDescent="0.2">
      <c r="A24" s="3">
        <v>15</v>
      </c>
      <c r="B24" s="4" t="s">
        <v>137</v>
      </c>
      <c r="C24" s="4" t="s">
        <v>178</v>
      </c>
      <c r="D24" s="11" t="s">
        <v>262</v>
      </c>
      <c r="E24" s="25">
        <v>46232</v>
      </c>
      <c r="F24" s="6" t="s">
        <v>157</v>
      </c>
    </row>
    <row r="25" spans="1:6" ht="26.45" customHeight="1" x14ac:dyDescent="0.2">
      <c r="A25" s="37" t="s">
        <v>179</v>
      </c>
      <c r="B25" s="38"/>
      <c r="C25" s="38"/>
      <c r="D25" s="39"/>
      <c r="E25" s="39"/>
      <c r="F25" s="40"/>
    </row>
    <row r="26" spans="1:6" ht="26.45" customHeight="1" x14ac:dyDescent="0.2">
      <c r="A26" s="3">
        <v>16</v>
      </c>
      <c r="B26" s="4" t="s">
        <v>79</v>
      </c>
      <c r="C26" s="4" t="s">
        <v>180</v>
      </c>
      <c r="D26" s="11" t="s">
        <v>231</v>
      </c>
      <c r="E26" s="25">
        <v>46232</v>
      </c>
      <c r="F26" s="6" t="s">
        <v>157</v>
      </c>
    </row>
    <row r="27" spans="1:6" ht="26.45" customHeight="1" x14ac:dyDescent="0.2">
      <c r="A27" s="3">
        <v>17</v>
      </c>
      <c r="B27" s="4" t="s">
        <v>79</v>
      </c>
      <c r="C27" s="4" t="s">
        <v>181</v>
      </c>
      <c r="D27" s="11" t="s">
        <v>262</v>
      </c>
      <c r="E27" s="25">
        <v>46232</v>
      </c>
      <c r="F27" s="6" t="s">
        <v>157</v>
      </c>
    </row>
  </sheetData>
  <sheetProtection sort="0" autoFilter="0"/>
  <mergeCells count="8">
    <mergeCell ref="A16:F16"/>
    <mergeCell ref="A20:F20"/>
    <mergeCell ref="A25:F25"/>
    <mergeCell ref="A1:F1"/>
    <mergeCell ref="A2:F2"/>
    <mergeCell ref="A3:B3"/>
    <mergeCell ref="A6:F6"/>
    <mergeCell ref="A10:F10"/>
  </mergeCells>
  <conditionalFormatting sqref="F6:F27">
    <cfRule type="cellIs" dxfId="11" priority="1" operator="equal">
      <formula>"Hecho"</formula>
    </cfRule>
    <cfRule type="cellIs" dxfId="10" priority="2" operator="equal">
      <formula>"En proceso"</formula>
    </cfRule>
    <cfRule type="cellIs" dxfId="9" priority="3" operator="equal">
      <formula>"Pendiente"</formula>
    </cfRule>
  </conditionalFormatting>
  <dataValidations count="1">
    <dataValidation type="list" allowBlank="1" sqref="F7:F9 F11:F15 F17:F19 F21:F24 F26:F27" xr:uid="{00000000-0002-0000-0200-000000000000}">
      <formula1>"Pendiente,En proceso,Hecho"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13F358-99DD-4436-8FE8-6982FBA92996}">
          <x14:formula1>
            <xm:f>'DIRECTORIO Y PENDIENTES'!$B$3:$B$17</xm:f>
          </x14:formula1>
          <xm:sqref>D7:D9 D26:D27 D11:D15 D17:D19 D21:D24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9"/>
  <sheetViews>
    <sheetView showGridLines="0" workbookViewId="0">
      <pane ySplit="5" topLeftCell="A21" activePane="bottomLeft" state="frozen"/>
      <selection pane="bottomLeft" activeCell="D28" sqref="D28"/>
    </sheetView>
  </sheetViews>
  <sheetFormatPr defaultColWidth="14.390625" defaultRowHeight="15" customHeight="1" x14ac:dyDescent="0.2"/>
  <cols>
    <col min="1" max="1" width="4.9765625" customWidth="1"/>
    <col min="2" max="2" width="20.04296875" customWidth="1"/>
    <col min="3" max="3" width="50.04296875" customWidth="1"/>
    <col min="4" max="4" width="20.04296875" customWidth="1"/>
    <col min="5" max="5" width="22.59765625" bestFit="1" customWidth="1"/>
    <col min="6" max="6" width="13.98828125" customWidth="1"/>
    <col min="7" max="26" width="8.609375" customWidth="1"/>
  </cols>
  <sheetData>
    <row r="1" spans="1:6" ht="26.45" customHeight="1" x14ac:dyDescent="0.2">
      <c r="A1" s="27" t="s">
        <v>182</v>
      </c>
      <c r="B1" s="28"/>
      <c r="C1" s="28"/>
      <c r="D1" s="28"/>
      <c r="E1" s="28"/>
      <c r="F1" s="28"/>
    </row>
    <row r="2" spans="1:6" ht="26.45" customHeight="1" x14ac:dyDescent="0.2">
      <c r="A2" s="44" t="s">
        <v>183</v>
      </c>
      <c r="B2" s="28"/>
      <c r="C2" s="28"/>
      <c r="D2" s="28"/>
      <c r="E2" s="28"/>
      <c r="F2" s="28"/>
    </row>
    <row r="3" spans="1:6" ht="26.45" customHeight="1" x14ac:dyDescent="0.2">
      <c r="A3" s="42" t="s">
        <v>148</v>
      </c>
      <c r="B3" s="34"/>
      <c r="C3" s="12">
        <f>IFERROR(COUNTIF(F6:F27,"Hecho")/COUNT(A6:A27),0)</f>
        <v>0</v>
      </c>
      <c r="D3" s="26"/>
      <c r="E3" s="26"/>
      <c r="F3" s="26"/>
    </row>
    <row r="4" spans="1:6" ht="26.45" customHeight="1" x14ac:dyDescent="0.2">
      <c r="A4" s="26"/>
      <c r="B4" s="26"/>
      <c r="C4" s="26"/>
      <c r="D4" s="26"/>
      <c r="E4" s="26"/>
      <c r="F4" s="26"/>
    </row>
    <row r="5" spans="1:6" ht="26.45" customHeight="1" x14ac:dyDescent="0.2">
      <c r="A5" s="13" t="s">
        <v>149</v>
      </c>
      <c r="B5" s="13" t="s">
        <v>150</v>
      </c>
      <c r="C5" s="13" t="s">
        <v>151</v>
      </c>
      <c r="D5" s="13" t="s">
        <v>24</v>
      </c>
      <c r="E5" s="13" t="s">
        <v>152</v>
      </c>
      <c r="F5" s="13" t="s">
        <v>153</v>
      </c>
    </row>
    <row r="6" spans="1:6" ht="26.45" customHeight="1" x14ac:dyDescent="0.2">
      <c r="A6" s="37" t="s">
        <v>184</v>
      </c>
      <c r="B6" s="38"/>
      <c r="C6" s="38"/>
      <c r="D6" s="38"/>
      <c r="E6" s="38"/>
      <c r="F6" s="43"/>
    </row>
    <row r="7" spans="1:6" ht="26.45" customHeight="1" x14ac:dyDescent="0.2">
      <c r="A7" s="3">
        <v>1</v>
      </c>
      <c r="B7" s="4" t="s">
        <v>185</v>
      </c>
      <c r="C7" s="4" t="s">
        <v>186</v>
      </c>
      <c r="D7" s="11"/>
      <c r="E7" s="25">
        <v>46233</v>
      </c>
      <c r="F7" s="6" t="s">
        <v>157</v>
      </c>
    </row>
    <row r="8" spans="1:6" ht="26.45" customHeight="1" x14ac:dyDescent="0.2">
      <c r="A8" s="3">
        <v>2</v>
      </c>
      <c r="B8" s="4" t="s">
        <v>185</v>
      </c>
      <c r="C8" s="4" t="s">
        <v>187</v>
      </c>
      <c r="D8" s="11" t="s">
        <v>232</v>
      </c>
      <c r="E8" s="25">
        <v>46233</v>
      </c>
      <c r="F8" s="6" t="s">
        <v>157</v>
      </c>
    </row>
    <row r="9" spans="1:6" ht="26.45" customHeight="1" x14ac:dyDescent="0.2">
      <c r="A9" s="3">
        <v>3</v>
      </c>
      <c r="B9" s="4" t="s">
        <v>185</v>
      </c>
      <c r="C9" s="4" t="s">
        <v>188</v>
      </c>
      <c r="D9" s="11"/>
      <c r="E9" s="25">
        <v>46233</v>
      </c>
      <c r="F9" s="6" t="s">
        <v>157</v>
      </c>
    </row>
    <row r="10" spans="1:6" ht="26.45" customHeight="1" x14ac:dyDescent="0.2">
      <c r="A10" s="3">
        <v>4</v>
      </c>
      <c r="B10" s="4" t="s">
        <v>185</v>
      </c>
      <c r="C10" s="4" t="s">
        <v>189</v>
      </c>
      <c r="D10" s="11" t="s">
        <v>233</v>
      </c>
      <c r="E10" s="25">
        <v>46233</v>
      </c>
      <c r="F10" s="6" t="s">
        <v>157</v>
      </c>
    </row>
    <row r="11" spans="1:6" ht="26.45" customHeight="1" x14ac:dyDescent="0.2">
      <c r="A11" s="3">
        <v>5</v>
      </c>
      <c r="B11" s="4" t="s">
        <v>185</v>
      </c>
      <c r="C11" s="4" t="s">
        <v>190</v>
      </c>
      <c r="D11" s="11" t="s">
        <v>235</v>
      </c>
      <c r="E11" s="25">
        <v>46233</v>
      </c>
      <c r="F11" s="6" t="s">
        <v>157</v>
      </c>
    </row>
    <row r="12" spans="1:6" ht="26.45" customHeight="1" x14ac:dyDescent="0.2">
      <c r="A12" s="3">
        <v>6</v>
      </c>
      <c r="B12" s="4" t="s">
        <v>185</v>
      </c>
      <c r="C12" s="4" t="s">
        <v>191</v>
      </c>
      <c r="D12" s="11"/>
      <c r="E12" s="25">
        <v>46233</v>
      </c>
      <c r="F12" s="6" t="s">
        <v>157</v>
      </c>
    </row>
    <row r="13" spans="1:6" ht="26.45" customHeight="1" x14ac:dyDescent="0.2">
      <c r="A13" s="37" t="s">
        <v>192</v>
      </c>
      <c r="B13" s="38"/>
      <c r="C13" s="38"/>
      <c r="D13" s="39"/>
      <c r="E13" s="39"/>
      <c r="F13" s="40"/>
    </row>
    <row r="14" spans="1:6" ht="26.45" customHeight="1" x14ac:dyDescent="0.2">
      <c r="A14" s="3">
        <v>7</v>
      </c>
      <c r="B14" s="4" t="s">
        <v>193</v>
      </c>
      <c r="C14" s="4" t="s">
        <v>194</v>
      </c>
      <c r="D14" s="11"/>
      <c r="E14" s="25">
        <v>46233</v>
      </c>
      <c r="F14" s="6" t="s">
        <v>157</v>
      </c>
    </row>
    <row r="15" spans="1:6" ht="26.45" customHeight="1" x14ac:dyDescent="0.2">
      <c r="A15" s="3">
        <v>8</v>
      </c>
      <c r="B15" s="4" t="s">
        <v>193</v>
      </c>
      <c r="C15" s="4" t="s">
        <v>195</v>
      </c>
      <c r="D15" s="11" t="s">
        <v>262</v>
      </c>
      <c r="E15" s="25">
        <v>46233</v>
      </c>
      <c r="F15" s="6" t="s">
        <v>157</v>
      </c>
    </row>
    <row r="16" spans="1:6" ht="26.45" customHeight="1" x14ac:dyDescent="0.2">
      <c r="A16" s="3">
        <v>9</v>
      </c>
      <c r="B16" s="4" t="s">
        <v>193</v>
      </c>
      <c r="C16" s="4" t="s">
        <v>196</v>
      </c>
      <c r="D16" s="11"/>
      <c r="E16" s="25">
        <v>46233</v>
      </c>
      <c r="F16" s="6" t="s">
        <v>157</v>
      </c>
    </row>
    <row r="17" spans="1:6" ht="26.45" customHeight="1" x14ac:dyDescent="0.2">
      <c r="A17" s="3">
        <v>10</v>
      </c>
      <c r="B17" s="4" t="s">
        <v>193</v>
      </c>
      <c r="C17" s="4" t="s">
        <v>197</v>
      </c>
      <c r="D17" s="11" t="s">
        <v>235</v>
      </c>
      <c r="E17" s="25">
        <v>46233</v>
      </c>
      <c r="F17" s="6" t="s">
        <v>157</v>
      </c>
    </row>
    <row r="18" spans="1:6" ht="26.45" customHeight="1" x14ac:dyDescent="0.2">
      <c r="A18" s="3">
        <v>11</v>
      </c>
      <c r="B18" s="4" t="s">
        <v>193</v>
      </c>
      <c r="C18" s="4" t="s">
        <v>198</v>
      </c>
      <c r="D18" s="11"/>
      <c r="E18" s="25">
        <v>46233</v>
      </c>
      <c r="F18" s="6" t="s">
        <v>157</v>
      </c>
    </row>
    <row r="19" spans="1:6" ht="26.45" customHeight="1" x14ac:dyDescent="0.2">
      <c r="A19" s="37" t="s">
        <v>199</v>
      </c>
      <c r="B19" s="38"/>
      <c r="C19" s="38"/>
      <c r="D19" s="39"/>
      <c r="E19" s="39"/>
      <c r="F19" s="40"/>
    </row>
    <row r="20" spans="1:6" ht="26.45" customHeight="1" x14ac:dyDescent="0.2">
      <c r="A20" s="3">
        <v>12</v>
      </c>
      <c r="B20" s="4" t="s">
        <v>200</v>
      </c>
      <c r="C20" s="4" t="s">
        <v>201</v>
      </c>
      <c r="D20" s="11" t="s">
        <v>236</v>
      </c>
      <c r="E20" s="25">
        <v>46233</v>
      </c>
      <c r="F20" s="6" t="s">
        <v>157</v>
      </c>
    </row>
    <row r="21" spans="1:6" ht="26.45" customHeight="1" x14ac:dyDescent="0.2">
      <c r="A21" s="3">
        <v>13</v>
      </c>
      <c r="B21" s="4" t="s">
        <v>200</v>
      </c>
      <c r="C21" s="4" t="s">
        <v>202</v>
      </c>
      <c r="D21" s="11"/>
      <c r="E21" s="25">
        <v>46233</v>
      </c>
      <c r="F21" s="6" t="s">
        <v>157</v>
      </c>
    </row>
    <row r="22" spans="1:6" ht="26.45" customHeight="1" x14ac:dyDescent="0.2">
      <c r="A22" s="3">
        <v>14</v>
      </c>
      <c r="B22" s="4" t="s">
        <v>200</v>
      </c>
      <c r="C22" s="4" t="s">
        <v>203</v>
      </c>
      <c r="D22" s="11"/>
      <c r="E22" s="25">
        <v>46233</v>
      </c>
      <c r="F22" s="6" t="s">
        <v>157</v>
      </c>
    </row>
    <row r="23" spans="1:6" ht="26.45" customHeight="1" x14ac:dyDescent="0.2">
      <c r="A23" s="3">
        <v>15</v>
      </c>
      <c r="B23" s="4" t="s">
        <v>200</v>
      </c>
      <c r="C23" s="4" t="s">
        <v>204</v>
      </c>
      <c r="D23" s="11" t="s">
        <v>262</v>
      </c>
      <c r="E23" s="25">
        <v>46233</v>
      </c>
      <c r="F23" s="6" t="s">
        <v>157</v>
      </c>
    </row>
    <row r="24" spans="1:6" ht="26.45" customHeight="1" x14ac:dyDescent="0.2">
      <c r="A24" s="37" t="s">
        <v>205</v>
      </c>
      <c r="B24" s="38"/>
      <c r="C24" s="38"/>
      <c r="D24" s="39"/>
      <c r="E24" s="39"/>
      <c r="F24" s="40"/>
    </row>
    <row r="25" spans="1:6" ht="26.45" customHeight="1" x14ac:dyDescent="0.2">
      <c r="A25" s="3">
        <v>16</v>
      </c>
      <c r="B25" s="4" t="s">
        <v>206</v>
      </c>
      <c r="C25" s="4" t="s">
        <v>207</v>
      </c>
      <c r="D25" s="11" t="s">
        <v>232</v>
      </c>
      <c r="E25" s="25">
        <v>46233</v>
      </c>
      <c r="F25" s="6" t="s">
        <v>157</v>
      </c>
    </row>
    <row r="26" spans="1:6" ht="26.45" customHeight="1" x14ac:dyDescent="0.2">
      <c r="A26" s="3">
        <v>17</v>
      </c>
      <c r="B26" s="4" t="s">
        <v>206</v>
      </c>
      <c r="C26" s="4" t="s">
        <v>208</v>
      </c>
      <c r="D26" s="11" t="s">
        <v>237</v>
      </c>
      <c r="E26" s="25">
        <v>46233</v>
      </c>
      <c r="F26" s="6" t="s">
        <v>157</v>
      </c>
    </row>
    <row r="27" spans="1:6" ht="26.45" customHeight="1" x14ac:dyDescent="0.2">
      <c r="A27" s="3">
        <v>19</v>
      </c>
      <c r="B27" s="4" t="s">
        <v>206</v>
      </c>
      <c r="C27" s="4" t="s">
        <v>209</v>
      </c>
      <c r="D27" s="11" t="s">
        <v>232</v>
      </c>
      <c r="E27" s="25">
        <v>46233</v>
      </c>
      <c r="F27" s="6" t="s">
        <v>157</v>
      </c>
    </row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sheetProtection sort="0" autoFilter="0"/>
  <mergeCells count="7">
    <mergeCell ref="A19:F19"/>
    <mergeCell ref="A24:F24"/>
    <mergeCell ref="A1:F1"/>
    <mergeCell ref="A2:F2"/>
    <mergeCell ref="A3:B3"/>
    <mergeCell ref="A6:F6"/>
    <mergeCell ref="A13:F13"/>
  </mergeCells>
  <conditionalFormatting sqref="F6:F27">
    <cfRule type="cellIs" dxfId="8" priority="1" operator="equal">
      <formula>"Hecho"</formula>
    </cfRule>
    <cfRule type="cellIs" dxfId="7" priority="2" operator="equal">
      <formula>"En proceso"</formula>
    </cfRule>
    <cfRule type="cellIs" dxfId="6" priority="3" operator="equal">
      <formula>"Pendiente"</formula>
    </cfRule>
  </conditionalFormatting>
  <dataValidations count="1">
    <dataValidation type="list" allowBlank="1" sqref="F7:F12 F14:F18 F20:F23 F25:F27" xr:uid="{00000000-0002-0000-0300-000000000000}">
      <formula1>"Pendiente,En proceso,Hecho"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310444-1D64-4C31-8016-AA88B90C0665}">
          <x14:formula1>
            <xm:f>'DIRECTORIO Y PENDIENTES'!$B$3:$B$17</xm:f>
          </x14:formula1>
          <xm:sqref>D7:D12 D25:D27 D14:D18 D20:D23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workbookViewId="0">
      <pane ySplit="5" topLeftCell="A6" activePane="bottomLeft" state="frozen"/>
      <selection pane="bottomLeft" activeCell="D20" sqref="D20"/>
    </sheetView>
  </sheetViews>
  <sheetFormatPr defaultColWidth="14.390625" defaultRowHeight="15" customHeight="1" x14ac:dyDescent="0.2"/>
  <cols>
    <col min="1" max="1" width="4.9765625" customWidth="1"/>
    <col min="2" max="2" width="20.04296875" customWidth="1"/>
    <col min="3" max="3" width="50.04296875" customWidth="1"/>
    <col min="4" max="4" width="20.04296875" customWidth="1"/>
    <col min="5" max="5" width="24.75" bestFit="1" customWidth="1"/>
    <col min="6" max="6" width="13.98828125" customWidth="1"/>
    <col min="7" max="26" width="8.609375" customWidth="1"/>
  </cols>
  <sheetData>
    <row r="1" spans="1:6" ht="26.45" customHeight="1" x14ac:dyDescent="0.2">
      <c r="A1" s="27" t="s">
        <v>210</v>
      </c>
      <c r="B1" s="28"/>
      <c r="C1" s="28"/>
      <c r="D1" s="28"/>
      <c r="E1" s="28"/>
      <c r="F1" s="28"/>
    </row>
    <row r="2" spans="1:6" ht="26.45" customHeight="1" x14ac:dyDescent="0.2">
      <c r="A2" s="45" t="s">
        <v>211</v>
      </c>
      <c r="B2" s="28"/>
      <c r="C2" s="28"/>
      <c r="D2" s="28"/>
      <c r="E2" s="28"/>
      <c r="F2" s="28"/>
    </row>
    <row r="3" spans="1:6" ht="26.45" customHeight="1" x14ac:dyDescent="0.2">
      <c r="A3" s="42" t="s">
        <v>148</v>
      </c>
      <c r="B3" s="34"/>
      <c r="C3" s="12">
        <f>IFERROR(COUNTIF(F6:F19,"Hecho")/COUNT(A6:A19),0)</f>
        <v>0</v>
      </c>
      <c r="D3" s="26"/>
      <c r="E3" s="26"/>
      <c r="F3" s="26"/>
    </row>
    <row r="4" spans="1:6" ht="26.45" customHeight="1" x14ac:dyDescent="0.2">
      <c r="A4" s="26"/>
      <c r="B4" s="26"/>
      <c r="C4" s="26"/>
      <c r="D4" s="26"/>
      <c r="E4" s="26"/>
      <c r="F4" s="26"/>
    </row>
    <row r="5" spans="1:6" ht="26.45" customHeight="1" x14ac:dyDescent="0.2">
      <c r="A5" s="13" t="s">
        <v>149</v>
      </c>
      <c r="B5" s="13" t="s">
        <v>150</v>
      </c>
      <c r="C5" s="13" t="s">
        <v>151</v>
      </c>
      <c r="D5" s="13" t="s">
        <v>24</v>
      </c>
      <c r="E5" s="13" t="s">
        <v>152</v>
      </c>
      <c r="F5" s="13" t="s">
        <v>153</v>
      </c>
    </row>
    <row r="6" spans="1:6" ht="26.45" customHeight="1" x14ac:dyDescent="0.2">
      <c r="A6" s="37" t="s">
        <v>212</v>
      </c>
      <c r="B6" s="38"/>
      <c r="C6" s="38"/>
      <c r="D6" s="38"/>
      <c r="E6" s="38"/>
      <c r="F6" s="43"/>
    </row>
    <row r="7" spans="1:6" ht="26.45" customHeight="1" x14ac:dyDescent="0.2">
      <c r="A7" s="3">
        <v>1</v>
      </c>
      <c r="B7" s="4" t="s">
        <v>213</v>
      </c>
      <c r="C7" s="4" t="s">
        <v>263</v>
      </c>
      <c r="D7" s="11" t="s">
        <v>234</v>
      </c>
      <c r="E7" s="25">
        <v>46235</v>
      </c>
      <c r="F7" s="6" t="s">
        <v>157</v>
      </c>
    </row>
    <row r="8" spans="1:6" ht="26.45" customHeight="1" x14ac:dyDescent="0.2">
      <c r="A8" s="3">
        <v>2</v>
      </c>
      <c r="B8" s="4" t="s">
        <v>213</v>
      </c>
      <c r="C8" s="4" t="s">
        <v>214</v>
      </c>
      <c r="D8" s="11" t="s">
        <v>232</v>
      </c>
      <c r="E8" s="25">
        <v>46235</v>
      </c>
      <c r="F8" s="6" t="s">
        <v>157</v>
      </c>
    </row>
    <row r="9" spans="1:6" ht="26.45" customHeight="1" x14ac:dyDescent="0.2">
      <c r="A9" s="3">
        <v>3</v>
      </c>
      <c r="B9" s="4" t="s">
        <v>213</v>
      </c>
      <c r="C9" s="4" t="s">
        <v>215</v>
      </c>
      <c r="D9" s="11" t="s">
        <v>232</v>
      </c>
      <c r="E9" s="25">
        <v>46235</v>
      </c>
      <c r="F9" s="6" t="s">
        <v>157</v>
      </c>
    </row>
    <row r="10" spans="1:6" ht="26.45" customHeight="1" x14ac:dyDescent="0.2">
      <c r="A10" s="3">
        <v>4</v>
      </c>
      <c r="B10" s="4" t="s">
        <v>213</v>
      </c>
      <c r="C10" s="4" t="s">
        <v>216</v>
      </c>
      <c r="D10" s="11" t="s">
        <v>232</v>
      </c>
      <c r="E10" s="25">
        <v>46235</v>
      </c>
      <c r="F10" s="6" t="s">
        <v>157</v>
      </c>
    </row>
    <row r="11" spans="1:6" ht="26.45" customHeight="1" x14ac:dyDescent="0.2">
      <c r="A11" s="37" t="s">
        <v>20</v>
      </c>
      <c r="B11" s="38"/>
      <c r="C11" s="38"/>
      <c r="D11" s="39"/>
      <c r="E11" s="39"/>
      <c r="F11" s="40"/>
    </row>
    <row r="12" spans="1:6" ht="26.45" customHeight="1" x14ac:dyDescent="0.2">
      <c r="A12" s="3">
        <v>5</v>
      </c>
      <c r="B12" s="4" t="s">
        <v>217</v>
      </c>
      <c r="C12" s="4" t="s">
        <v>218</v>
      </c>
      <c r="D12" s="11" t="s">
        <v>236</v>
      </c>
      <c r="E12" s="25">
        <v>46235</v>
      </c>
      <c r="F12" s="6" t="s">
        <v>157</v>
      </c>
    </row>
    <row r="13" spans="1:6" ht="26.45" customHeight="1" x14ac:dyDescent="0.2">
      <c r="A13" s="3">
        <v>6</v>
      </c>
      <c r="B13" s="4" t="s">
        <v>217</v>
      </c>
      <c r="C13" s="4" t="s">
        <v>219</v>
      </c>
      <c r="D13" s="11" t="s">
        <v>262</v>
      </c>
      <c r="E13" s="25">
        <v>46235</v>
      </c>
      <c r="F13" s="6" t="s">
        <v>157</v>
      </c>
    </row>
    <row r="14" spans="1:6" ht="26.45" customHeight="1" x14ac:dyDescent="0.2">
      <c r="A14" s="3">
        <v>7</v>
      </c>
      <c r="B14" s="4" t="s">
        <v>217</v>
      </c>
      <c r="C14" s="4" t="s">
        <v>220</v>
      </c>
      <c r="D14" s="11" t="s">
        <v>262</v>
      </c>
      <c r="E14" s="25">
        <v>46235</v>
      </c>
      <c r="F14" s="6" t="s">
        <v>157</v>
      </c>
    </row>
    <row r="15" spans="1:6" ht="26.45" customHeight="1" x14ac:dyDescent="0.2">
      <c r="A15" s="3">
        <v>8</v>
      </c>
      <c r="B15" s="4" t="s">
        <v>217</v>
      </c>
      <c r="C15" s="4" t="s">
        <v>221</v>
      </c>
      <c r="D15" s="11"/>
      <c r="E15" s="25">
        <v>46235</v>
      </c>
      <c r="F15" s="6" t="s">
        <v>157</v>
      </c>
    </row>
    <row r="16" spans="1:6" ht="26.45" customHeight="1" x14ac:dyDescent="0.2">
      <c r="A16" s="37" t="s">
        <v>222</v>
      </c>
      <c r="B16" s="38"/>
      <c r="C16" s="38"/>
      <c r="D16" s="39"/>
      <c r="E16" s="39"/>
      <c r="F16" s="40"/>
    </row>
    <row r="17" spans="1:6" ht="26.45" customHeight="1" x14ac:dyDescent="0.2">
      <c r="A17" s="3">
        <v>9</v>
      </c>
      <c r="B17" s="4" t="s">
        <v>223</v>
      </c>
      <c r="C17" s="4" t="s">
        <v>224</v>
      </c>
      <c r="D17" s="11" t="s">
        <v>233</v>
      </c>
      <c r="E17" s="25">
        <v>46235</v>
      </c>
      <c r="F17" s="6" t="s">
        <v>157</v>
      </c>
    </row>
    <row r="18" spans="1:6" ht="26.45" customHeight="1" x14ac:dyDescent="0.2">
      <c r="A18" s="3">
        <v>10</v>
      </c>
      <c r="B18" s="4" t="s">
        <v>223</v>
      </c>
      <c r="C18" s="4" t="s">
        <v>225</v>
      </c>
      <c r="D18" s="11" t="s">
        <v>262</v>
      </c>
      <c r="E18" s="25">
        <v>46235</v>
      </c>
      <c r="F18" s="6" t="s">
        <v>157</v>
      </c>
    </row>
    <row r="19" spans="1:6" ht="26.45" customHeight="1" x14ac:dyDescent="0.2">
      <c r="A19" s="3">
        <v>11</v>
      </c>
      <c r="B19" s="4" t="s">
        <v>223</v>
      </c>
      <c r="C19" s="4" t="s">
        <v>226</v>
      </c>
      <c r="D19" s="11" t="s">
        <v>262</v>
      </c>
      <c r="E19" s="25">
        <v>46235</v>
      </c>
      <c r="F19" s="6" t="s">
        <v>157</v>
      </c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ort="0" autoFilter="0"/>
  <mergeCells count="6">
    <mergeCell ref="A16:F16"/>
    <mergeCell ref="A1:F1"/>
    <mergeCell ref="A2:F2"/>
    <mergeCell ref="A3:B3"/>
    <mergeCell ref="A6:F6"/>
    <mergeCell ref="A11:F11"/>
  </mergeCells>
  <conditionalFormatting sqref="F6:F19">
    <cfRule type="cellIs" dxfId="5" priority="1" operator="equal">
      <formula>"Hecho"</formula>
    </cfRule>
    <cfRule type="cellIs" dxfId="4" priority="2" operator="equal">
      <formula>"En proceso"</formula>
    </cfRule>
    <cfRule type="cellIs" dxfId="3" priority="3" operator="equal">
      <formula>"Pendiente"</formula>
    </cfRule>
  </conditionalFormatting>
  <dataValidations count="1">
    <dataValidation type="list" allowBlank="1" sqref="F7:F10 F12:F15 F17:F19" xr:uid="{00000000-0002-0000-0400-000000000000}">
      <formula1>"Pendiente,En proceso,Hecho"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2C9A17-5FDA-4D0B-A16E-E25F2A7C8C8A}">
          <x14:formula1>
            <xm:f>'DIRECTORIO Y PENDIENTES'!$B$3:$B$17</xm:f>
          </x14:formula1>
          <xm:sqref>D7:D10 D17:D19 D12:D15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98"/>
  <sheetViews>
    <sheetView showGridLines="0" workbookViewId="0">
      <selection activeCell="A13" sqref="A13:XFD13"/>
    </sheetView>
  </sheetViews>
  <sheetFormatPr defaultColWidth="14.390625" defaultRowHeight="15" customHeight="1" x14ac:dyDescent="0.2"/>
  <cols>
    <col min="1" max="1" width="25.9609375" customWidth="1"/>
    <col min="2" max="2" width="39.953125" customWidth="1"/>
    <col min="3" max="3" width="16.0078125" customWidth="1"/>
    <col min="4" max="25" width="8.609375" customWidth="1"/>
  </cols>
  <sheetData>
    <row r="1" spans="1:3" ht="26.45" customHeight="1" x14ac:dyDescent="0.2">
      <c r="A1" s="27" t="s">
        <v>227</v>
      </c>
      <c r="B1" s="28"/>
      <c r="C1" s="28"/>
    </row>
    <row r="2" spans="1:3" ht="26.45" customHeight="1" x14ac:dyDescent="0.2">
      <c r="A2" s="13" t="s">
        <v>228</v>
      </c>
      <c r="B2" s="13" t="s">
        <v>24</v>
      </c>
      <c r="C2" s="13" t="s">
        <v>229</v>
      </c>
    </row>
    <row r="3" spans="1:3" ht="26.45" customHeight="1" x14ac:dyDescent="0.2">
      <c r="A3" s="4" t="s">
        <v>230</v>
      </c>
      <c r="B3" s="4" t="s">
        <v>262</v>
      </c>
      <c r="C3" s="4"/>
    </row>
    <row r="4" spans="1:3" ht="26.45" customHeight="1" x14ac:dyDescent="0.2">
      <c r="A4" s="14" t="s">
        <v>36</v>
      </c>
      <c r="B4" s="14" t="s">
        <v>231</v>
      </c>
      <c r="C4" s="14"/>
    </row>
    <row r="5" spans="1:3" ht="26.45" customHeight="1" x14ac:dyDescent="0.2">
      <c r="A5" s="4" t="s">
        <v>54</v>
      </c>
      <c r="B5" s="14" t="s">
        <v>231</v>
      </c>
      <c r="C5" s="4"/>
    </row>
    <row r="6" spans="1:3" ht="26.45" customHeight="1" x14ac:dyDescent="0.2">
      <c r="A6" s="14" t="s">
        <v>58</v>
      </c>
      <c r="B6" s="4" t="s">
        <v>232</v>
      </c>
      <c r="C6" s="14"/>
    </row>
    <row r="7" spans="1:3" ht="26.45" customHeight="1" x14ac:dyDescent="0.2">
      <c r="A7" s="4" t="s">
        <v>69</v>
      </c>
      <c r="B7" s="4" t="s">
        <v>232</v>
      </c>
      <c r="C7" s="4"/>
    </row>
    <row r="8" spans="1:3" ht="26.45" customHeight="1" x14ac:dyDescent="0.2">
      <c r="A8" s="14" t="s">
        <v>71</v>
      </c>
      <c r="B8" s="14" t="s">
        <v>233</v>
      </c>
      <c r="C8" s="14"/>
    </row>
    <row r="9" spans="1:3" ht="26.45" customHeight="1" x14ac:dyDescent="0.2">
      <c r="A9" s="4" t="s">
        <v>79</v>
      </c>
      <c r="B9" s="14" t="s">
        <v>233</v>
      </c>
      <c r="C9" s="4"/>
    </row>
    <row r="10" spans="1:3" ht="26.45" customHeight="1" x14ac:dyDescent="0.2">
      <c r="A10" s="14" t="s">
        <v>84</v>
      </c>
      <c r="B10" s="4" t="s">
        <v>232</v>
      </c>
      <c r="C10" s="14"/>
    </row>
    <row r="11" spans="1:3" ht="26.45" customHeight="1" x14ac:dyDescent="0.2">
      <c r="A11" s="4" t="s">
        <v>91</v>
      </c>
      <c r="B11" s="4" t="s">
        <v>234</v>
      </c>
      <c r="C11" s="4"/>
    </row>
    <row r="12" spans="1:3" ht="26.45" customHeight="1" x14ac:dyDescent="0.2">
      <c r="A12" s="14" t="s">
        <v>97</v>
      </c>
      <c r="B12" s="14" t="s">
        <v>235</v>
      </c>
      <c r="C12" s="14"/>
    </row>
    <row r="13" spans="1:3" ht="26.45" customHeight="1" x14ac:dyDescent="0.2">
      <c r="A13" s="4" t="s">
        <v>114</v>
      </c>
      <c r="B13" s="4" t="s">
        <v>236</v>
      </c>
      <c r="C13" s="4"/>
    </row>
    <row r="14" spans="1:3" ht="26.45" customHeight="1" x14ac:dyDescent="0.2">
      <c r="A14" s="14" t="s">
        <v>118</v>
      </c>
      <c r="B14" s="14" t="s">
        <v>262</v>
      </c>
      <c r="C14" s="14"/>
    </row>
    <row r="15" spans="1:3" ht="26.45" customHeight="1" x14ac:dyDescent="0.2">
      <c r="A15" s="4" t="s">
        <v>133</v>
      </c>
      <c r="B15" s="4" t="s">
        <v>234</v>
      </c>
      <c r="C15" s="4"/>
    </row>
    <row r="16" spans="1:3" ht="26.45" customHeight="1" x14ac:dyDescent="0.2">
      <c r="A16" s="14" t="s">
        <v>137</v>
      </c>
      <c r="B16" s="14" t="s">
        <v>262</v>
      </c>
      <c r="C16" s="14"/>
    </row>
    <row r="17" spans="1:3" ht="26.45" customHeight="1" x14ac:dyDescent="0.2">
      <c r="A17" s="4" t="s">
        <v>141</v>
      </c>
      <c r="B17" s="4" t="s">
        <v>237</v>
      </c>
      <c r="C17" s="4"/>
    </row>
    <row r="18" spans="1:3" ht="26.45" customHeight="1" x14ac:dyDescent="0.2">
      <c r="A18" s="26"/>
      <c r="B18" s="26"/>
      <c r="C18" s="26"/>
    </row>
    <row r="19" spans="1:3" ht="26.45" customHeight="1" x14ac:dyDescent="0.2">
      <c r="A19" s="27" t="s">
        <v>238</v>
      </c>
      <c r="B19" s="28"/>
      <c r="C19" s="28"/>
    </row>
    <row r="20" spans="1:3" ht="26.45" customHeight="1" x14ac:dyDescent="0.2">
      <c r="A20" s="13" t="s">
        <v>149</v>
      </c>
      <c r="B20" s="13" t="s">
        <v>157</v>
      </c>
      <c r="C20" s="13" t="s">
        <v>153</v>
      </c>
    </row>
    <row r="21" spans="1:3" ht="26.45" customHeight="1" x14ac:dyDescent="0.2">
      <c r="A21" s="3">
        <v>1</v>
      </c>
      <c r="B21" s="11" t="s">
        <v>239</v>
      </c>
      <c r="C21" s="6" t="s">
        <v>240</v>
      </c>
    </row>
    <row r="22" spans="1:3" ht="26.45" customHeight="1" x14ac:dyDescent="0.2">
      <c r="A22" s="3">
        <v>2</v>
      </c>
      <c r="B22" s="11" t="s">
        <v>254</v>
      </c>
      <c r="C22" s="6" t="s">
        <v>157</v>
      </c>
    </row>
    <row r="23" spans="1:3" ht="26.45" customHeight="1" x14ac:dyDescent="0.2">
      <c r="A23" s="3">
        <v>3</v>
      </c>
      <c r="B23" s="11" t="s">
        <v>266</v>
      </c>
      <c r="C23" s="6" t="s">
        <v>157</v>
      </c>
    </row>
    <row r="24" spans="1:3" ht="26.45" customHeight="1" x14ac:dyDescent="0.2">
      <c r="A24" s="3">
        <v>4</v>
      </c>
      <c r="B24" s="11" t="s">
        <v>267</v>
      </c>
      <c r="C24" s="6" t="s">
        <v>157</v>
      </c>
    </row>
    <row r="25" spans="1:3" ht="26.45" customHeight="1" x14ac:dyDescent="0.2">
      <c r="A25" s="3">
        <v>5</v>
      </c>
      <c r="B25" s="11"/>
      <c r="C25" s="6" t="s">
        <v>157</v>
      </c>
    </row>
    <row r="26" spans="1:3" ht="26.45" customHeight="1" x14ac:dyDescent="0.2">
      <c r="A26" s="3">
        <v>6</v>
      </c>
      <c r="B26" s="11"/>
      <c r="C26" s="6" t="s">
        <v>157</v>
      </c>
    </row>
    <row r="27" spans="1:3" ht="26.45" customHeight="1" x14ac:dyDescent="0.2">
      <c r="A27" s="3">
        <v>7</v>
      </c>
      <c r="B27" s="11"/>
      <c r="C27" s="6" t="s">
        <v>157</v>
      </c>
    </row>
    <row r="28" spans="1:3" ht="26.45" customHeight="1" x14ac:dyDescent="0.2">
      <c r="A28" s="3">
        <v>8</v>
      </c>
      <c r="B28" s="11"/>
      <c r="C28" s="6" t="s">
        <v>157</v>
      </c>
    </row>
    <row r="29" spans="1:3" ht="26.45" customHeight="1" x14ac:dyDescent="0.2">
      <c r="A29" s="3">
        <v>9</v>
      </c>
      <c r="B29" s="11"/>
      <c r="C29" s="6" t="s">
        <v>157</v>
      </c>
    </row>
    <row r="30" spans="1:3" ht="26.45" customHeight="1" x14ac:dyDescent="0.2">
      <c r="A30" s="3">
        <v>10</v>
      </c>
      <c r="B30" s="11"/>
      <c r="C30" s="6" t="s">
        <v>157</v>
      </c>
    </row>
    <row r="31" spans="1:3" ht="26.45" customHeight="1" x14ac:dyDescent="0.2">
      <c r="A31" s="3">
        <v>11</v>
      </c>
      <c r="B31" s="11"/>
      <c r="C31" s="6" t="s">
        <v>157</v>
      </c>
    </row>
    <row r="32" spans="1:3" ht="26.45" customHeight="1" x14ac:dyDescent="0.2">
      <c r="A32" s="3">
        <v>12</v>
      </c>
      <c r="B32" s="11"/>
      <c r="C32" s="6" t="s">
        <v>157</v>
      </c>
    </row>
    <row r="33" spans="1:3" ht="26.45" customHeight="1" x14ac:dyDescent="0.2">
      <c r="A33" s="3">
        <v>13</v>
      </c>
      <c r="B33" s="11"/>
      <c r="C33" s="6" t="s">
        <v>157</v>
      </c>
    </row>
    <row r="34" spans="1:3" ht="26.45" customHeight="1" x14ac:dyDescent="0.2">
      <c r="A34" s="3">
        <v>14</v>
      </c>
      <c r="B34" s="11"/>
      <c r="C34" s="6" t="s">
        <v>157</v>
      </c>
    </row>
    <row r="35" spans="1:3" ht="26.45" customHeight="1" x14ac:dyDescent="0.2">
      <c r="A35" s="3">
        <v>15</v>
      </c>
      <c r="B35" s="11"/>
      <c r="C35" s="6" t="s">
        <v>157</v>
      </c>
    </row>
    <row r="36" spans="1:3" ht="15.75" customHeight="1" x14ac:dyDescent="0.2"/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sheetProtection sort="0" autoFilter="0"/>
  <mergeCells count="2">
    <mergeCell ref="A1:C1"/>
    <mergeCell ref="A19:C19"/>
  </mergeCells>
  <conditionalFormatting sqref="C21:C35">
    <cfRule type="cellIs" dxfId="2" priority="1" operator="equal">
      <formula>"Hecho"</formula>
    </cfRule>
    <cfRule type="cellIs" dxfId="1" priority="2" operator="equal">
      <formula>"En proceso"</formula>
    </cfRule>
    <cfRule type="cellIs" dxfId="0" priority="3" operator="equal">
      <formula>"Pendiente"</formula>
    </cfRule>
  </conditionalFormatting>
  <dataValidations count="1">
    <dataValidation type="list" allowBlank="1" sqref="C21:C35" xr:uid="{00000000-0002-0000-0500-000000000000}">
      <formula1>"Pendiente,En proceso,Hecho"</formula1>
    </dataValidation>
  </dataValidation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0E4F-6016-45E9-A1D6-44D77A568FB2}">
  <dimension ref="A1:E8"/>
  <sheetViews>
    <sheetView zoomScale="112" workbookViewId="0">
      <pane ySplit="2" topLeftCell="A3" activePane="bottomLeft" state="frozen"/>
      <selection pane="bottomLeft" activeCell="B3" sqref="B3"/>
    </sheetView>
  </sheetViews>
  <sheetFormatPr defaultColWidth="10.76171875" defaultRowHeight="15" x14ac:dyDescent="0.2"/>
  <cols>
    <col min="1" max="1" width="16.6796875" customWidth="1"/>
    <col min="2" max="2" width="29.7265625" customWidth="1"/>
    <col min="3" max="3" width="24.078125" customWidth="1"/>
    <col min="4" max="4" width="16.6796875" customWidth="1"/>
    <col min="5" max="5" width="18.5625" customWidth="1"/>
  </cols>
  <sheetData>
    <row r="1" spans="1:5" ht="26.45" customHeight="1" x14ac:dyDescent="0.2">
      <c r="A1" s="46" t="s">
        <v>243</v>
      </c>
      <c r="B1" s="46"/>
      <c r="C1" s="46"/>
      <c r="D1" s="46"/>
      <c r="E1" s="46"/>
    </row>
    <row r="2" spans="1:5" ht="26.45" customHeight="1" x14ac:dyDescent="0.2">
      <c r="A2" s="22" t="s">
        <v>244</v>
      </c>
      <c r="B2" s="22" t="s">
        <v>24</v>
      </c>
      <c r="C2" s="22" t="s">
        <v>245</v>
      </c>
      <c r="D2" s="22" t="s">
        <v>246</v>
      </c>
      <c r="E2" s="22" t="s">
        <v>247</v>
      </c>
    </row>
    <row r="3" spans="1:5" ht="26.45" customHeight="1" x14ac:dyDescent="0.2">
      <c r="A3" s="23" t="s">
        <v>248</v>
      </c>
      <c r="B3" s="23"/>
      <c r="C3" s="23"/>
      <c r="D3" s="23"/>
      <c r="E3" s="23"/>
    </row>
    <row r="4" spans="1:5" ht="26.45" customHeight="1" x14ac:dyDescent="0.2">
      <c r="A4" s="23" t="s">
        <v>249</v>
      </c>
      <c r="B4" s="24"/>
      <c r="C4" s="24"/>
      <c r="D4" s="24"/>
      <c r="E4" s="24"/>
    </row>
    <row r="5" spans="1:5" ht="26.45" customHeight="1" x14ac:dyDescent="0.2">
      <c r="A5" s="23" t="s">
        <v>250</v>
      </c>
      <c r="B5" s="23"/>
      <c r="C5" s="23"/>
      <c r="D5" s="23"/>
      <c r="E5" s="23"/>
    </row>
    <row r="6" spans="1:5" ht="26.45" customHeight="1" x14ac:dyDescent="0.2">
      <c r="A6" s="23" t="s">
        <v>251</v>
      </c>
      <c r="B6" s="24"/>
      <c r="C6" s="24"/>
      <c r="D6" s="24"/>
      <c r="E6" s="24"/>
    </row>
    <row r="7" spans="1:5" ht="26.45" customHeight="1" x14ac:dyDescent="0.2">
      <c r="A7" s="23" t="s">
        <v>252</v>
      </c>
      <c r="B7" s="23"/>
      <c r="C7" s="23"/>
      <c r="D7" s="23"/>
      <c r="E7" s="23"/>
    </row>
    <row r="8" spans="1:5" ht="26.45" customHeight="1" x14ac:dyDescent="0.2">
      <c r="A8" s="23" t="s">
        <v>253</v>
      </c>
      <c r="B8" s="24"/>
      <c r="C8" s="24"/>
      <c r="D8" s="24"/>
      <c r="E8" s="24"/>
    </row>
  </sheetData>
  <mergeCells count="1">
    <mergeCell ref="A1:E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INICIO</vt:lpstr>
      <vt:lpstr>INVENTARIO MAESTRO</vt:lpstr>
      <vt:lpstr>ANTES</vt:lpstr>
      <vt:lpstr>DURANTE</vt:lpstr>
      <vt:lpstr>DESPUÉS</vt:lpstr>
      <vt:lpstr>DIRECTORIO Y PENDIENTES</vt:lpstr>
      <vt:lpstr>LISTA DE ASIGNACIÓN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Gerardo Rodríguez Solís</dc:creator>
  <cp:keywords/>
  <dc:description/>
  <cp:lastModifiedBy>Luis Gerardo Rodríguez Solís</cp:lastModifiedBy>
  <cp:revision/>
  <dcterms:created xsi:type="dcterms:W3CDTF">2026-07-20T20:48:47Z</dcterms:created>
  <dcterms:modified xsi:type="dcterms:W3CDTF">2026-07-23T18:03:54Z</dcterms:modified>
  <cp:category/>
  <cp:contentStatus/>
</cp:coreProperties>
</file>